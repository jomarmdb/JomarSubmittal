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54" documentId="8_{3B7B8E7E-9A83-42E8-BC18-3076BC9DC470}" xr6:coauthVersionLast="47" xr6:coauthVersionMax="47" xr10:uidLastSave="{7E742548-1CE0-4D48-8BCE-7C3C2446B560}"/>
  <bookViews>
    <workbookView xWindow="-98" yWindow="-98" windowWidth="28996" windowHeight="17475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4" i="1" l="1"/>
  <c r="D365" i="1"/>
  <c r="D363" i="1"/>
  <c r="D347" i="1"/>
  <c r="D272" i="1"/>
  <c r="D273" i="1"/>
  <c r="D274" i="1"/>
  <c r="D269" i="1"/>
  <c r="D349" i="1"/>
  <c r="D348" i="1"/>
  <c r="D340" i="1"/>
  <c r="D341" i="1"/>
  <c r="D342" i="1"/>
  <c r="D343" i="1"/>
  <c r="D344" i="1"/>
  <c r="D345" i="1"/>
  <c r="D346" i="1"/>
  <c r="D350" i="1"/>
  <c r="D339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17" i="1"/>
  <c r="D318" i="1"/>
  <c r="D319" i="1"/>
  <c r="D320" i="1"/>
  <c r="D321" i="1"/>
  <c r="D322" i="1"/>
  <c r="D323" i="1"/>
  <c r="D324" i="1"/>
  <c r="D325" i="1"/>
  <c r="D316" i="1"/>
  <c r="D313" i="1"/>
  <c r="D314" i="1"/>
  <c r="D315" i="1"/>
  <c r="D294" i="1"/>
  <c r="D295" i="1"/>
  <c r="D296" i="1"/>
  <c r="D297" i="1"/>
  <c r="D298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92" i="1"/>
  <c r="D293" i="1"/>
  <c r="D286" i="1"/>
  <c r="D287" i="1"/>
  <c r="D288" i="1"/>
  <c r="D289" i="1"/>
  <c r="D290" i="1"/>
  <c r="D291" i="1"/>
  <c r="D262" i="1"/>
  <c r="D263" i="1"/>
  <c r="D264" i="1"/>
  <c r="D265" i="1"/>
  <c r="D266" i="1"/>
  <c r="D267" i="1"/>
  <c r="D268" i="1"/>
  <c r="D239" i="1"/>
  <c r="D240" i="1"/>
  <c r="D241" i="1"/>
  <c r="D242" i="1"/>
  <c r="D243" i="1"/>
  <c r="D244" i="1"/>
  <c r="D245" i="1"/>
  <c r="D251" i="1"/>
  <c r="D252" i="1"/>
  <c r="D253" i="1"/>
  <c r="D254" i="1"/>
  <c r="D255" i="1"/>
  <c r="D256" i="1"/>
  <c r="D257" i="1"/>
  <c r="D258" i="1"/>
  <c r="D259" i="1"/>
  <c r="D260" i="1"/>
  <c r="D261" i="1"/>
  <c r="D231" i="1"/>
  <c r="D232" i="1"/>
  <c r="D233" i="1"/>
  <c r="D234" i="1"/>
  <c r="D235" i="1"/>
  <c r="D236" i="1"/>
  <c r="D237" i="1"/>
  <c r="D238" i="1"/>
  <c r="D228" i="1"/>
  <c r="D229" i="1"/>
  <c r="D230" i="1"/>
  <c r="D205" i="1"/>
  <c r="D206" i="1"/>
  <c r="D207" i="1"/>
  <c r="D208" i="1"/>
  <c r="D209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11" i="1"/>
  <c r="D212" i="1"/>
  <c r="D213" i="1"/>
  <c r="D188" i="1"/>
  <c r="D185" i="1"/>
  <c r="D182" i="1"/>
  <c r="D183" i="1"/>
  <c r="D184" i="1"/>
  <c r="D126" i="1"/>
  <c r="D128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8" i="1"/>
  <c r="D179" i="1"/>
  <c r="D180" i="1"/>
  <c r="D181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03" i="1"/>
  <c r="D96" i="1"/>
  <c r="D97" i="1"/>
  <c r="D98" i="1"/>
  <c r="D93" i="1"/>
  <c r="D90" i="1"/>
  <c r="D91" i="1"/>
  <c r="D84" i="1"/>
  <c r="D85" i="1"/>
  <c r="D86" i="1"/>
  <c r="D87" i="1"/>
  <c r="D88" i="1"/>
  <c r="D89" i="1"/>
  <c r="D83" i="1"/>
  <c r="D78" i="1"/>
  <c r="D70" i="1"/>
  <c r="D71" i="1"/>
  <c r="D72" i="1"/>
  <c r="D73" i="1"/>
  <c r="D74" i="1"/>
  <c r="D75" i="1"/>
  <c r="D76" i="1"/>
  <c r="D77" i="1"/>
  <c r="D69" i="1"/>
  <c r="D2" i="1"/>
  <c r="D3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<sst xmlns="http://schemas.openxmlformats.org/spreadsheetml/2006/main" count="12648" uniqueCount="3924">
  <si>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</si>
  <si>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</si>
  <si>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</si>
  <si>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</si>
  <si>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</si>
  <si>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</si>
  <si>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</si>
  <si>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</si>
  <si>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</si>
  <si>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</si>
  <si>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</si>
  <si>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</si>
  <si>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</si>
  <si>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</si>
  <si>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</si>
  <si>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</si>
  <si>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</si>
  <si>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</si>
  <si>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</si>
  <si>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</si>
  <si>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</si>
  <si>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</si>
  <si>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</si>
  <si>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</si>
  <si>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</si>
  <si>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</si>
  <si>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</si>
  <si>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</si>
  <si>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</si>
  <si>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</si>
  <si>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</si>
  <si>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</si>
  <si>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</si>
  <si>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</si>
  <si>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</si>
  <si>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</si>
  <si>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</si>
  <si>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</si>
  <si>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</si>
  <si>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</si>
  <si>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</si>
  <si>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</si>
  <si>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</si>
  <si>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</si>
  <si>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</si>
  <si>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</si>
  <si>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</si>
  <si>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</si>
  <si>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</si>
  <si>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</si>
  <si>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</si>
  <si>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</si>
  <si>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</si>
  <si>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</si>
  <si>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</si>
  <si>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</si>
  <si>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</si>
  <si>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</si>
  <si>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</si>
  <si>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</si>
  <si>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</si>
  <si>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</si>
  <si>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</si>
  <si>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</si>
  <si>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</si>
  <si>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</si>
  <si>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</si>
  <si>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</si>
  <si>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</si>
  <si>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</si>
  <si>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</si>
  <si>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</si>
  <si>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</si>
  <si>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</si>
  <si>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</si>
  <si>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</si>
  <si>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</si>
  <si>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</si>
  <si>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</si>
  <si>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</si>
  <si>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</si>
  <si>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</si>
  <si>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</si>
  <si>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</si>
  <si>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</si>
  <si>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</si>
  <si>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</si>
  <si>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</si>
  <si>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</si>
  <si>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</si>
  <si>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</si>
  <si>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</si>
  <si>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</si>
  <si>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</si>
  <si>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</si>
  <si>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</si>
  <si>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</si>
  <si>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</si>
  <si>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</si>
  <si>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</si>
  <si>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</si>
  <si>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</si>
  <si>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</si>
  <si>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</si>
  <si>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</si>
  <si>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</si>
  <si>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</si>
  <si>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</si>
  <si>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</si>
  <si>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</si>
  <si>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</si>
  <si>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</si>
  <si>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</si>
  <si>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</si>
  <si>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</si>
  <si>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</si>
  <si>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</si>
  <si>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</si>
  <si>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</si>
  <si>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</si>
  <si>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</si>
  <si>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</si>
  <si>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</si>
  <si>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</si>
  <si>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</si>
  <si>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</si>
  <si>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</si>
  <si>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</si>
  <si>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</si>
  <si>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</si>
  <si>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</si>
  <si>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</si>
  <si>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</si>
  <si>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</si>
  <si>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</si>
  <si>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</si>
  <si>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</si>
  <si>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</si>
  <si>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</si>
  <si>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</si>
  <si>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</si>
  <si>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</si>
  <si>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</si>
  <si>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</si>
  <si>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</si>
  <si>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</si>
  <si>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</si>
  <si>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</si>
  <si>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</si>
  <si>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</si>
  <si>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</si>
  <si>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</si>
  <si>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</si>
  <si>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</si>
  <si>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</si>
  <si>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</si>
  <si>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</si>
  <si>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</si>
  <si>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</si>
  <si>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</si>
  <si>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</si>
  <si>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</si>
  <si>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</si>
  <si>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</si>
  <si>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</si>
  <si>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</si>
  <si>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</si>
  <si>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</si>
  <si>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</si>
  <si>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</si>
  <si>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</si>
  <si>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</si>
  <si>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</si>
  <si>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</si>
  <si>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</si>
  <si>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</si>
  <si>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</si>
  <si>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</si>
  <si>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</si>
  <si>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</si>
  <si>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</si>
  <si>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</si>
  <si>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</si>
  <si>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</si>
  <si>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</si>
  <si>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</si>
  <si>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</si>
  <si>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</si>
  <si>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</si>
  <si>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</si>
  <si>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</si>
  <si>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</si>
  <si>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</si>
  <si>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</si>
  <si>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</si>
  <si>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</si>
  <si>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</si>
  <si>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</si>
  <si>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</si>
  <si>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</si>
  <si>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</si>
  <si>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</si>
  <si>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</si>
  <si>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</si>
  <si>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</si>
  <si>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</si>
  <si>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</si>
  <si>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</si>
  <si>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</si>
  <si>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</si>
  <si>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</si>
  <si>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</si>
  <si>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</si>
  <si>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</si>
  <si>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</si>
  <si>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</si>
  <si>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</si>
  <si>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</si>
  <si>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</si>
  <si>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</si>
  <si>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</si>
  <si>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</si>
  <si>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</si>
  <si>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</si>
  <si>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</si>
  <si>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</si>
  <si>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</si>
  <si>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</si>
  <si>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</si>
  <si>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</si>
  <si>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</si>
  <si>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</si>
  <si>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</si>
  <si>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</si>
  <si>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</si>
  <si>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</si>
  <si>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</si>
  <si>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</si>
  <si>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</si>
  <si>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</si>
  <si>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</si>
  <si>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</si>
  <si>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</si>
  <si>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</si>
  <si>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</si>
  <si>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</si>
  <si>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</si>
  <si>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</si>
  <si>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</si>
  <si>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</si>
  <si>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</si>
  <si>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</si>
  <si>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</si>
  <si>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</si>
  <si>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</si>
  <si>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</si>
  <si>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</si>
  <si>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</si>
  <si>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</si>
  <si>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</si>
  <si>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</si>
  <si>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</si>
  <si>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</si>
  <si>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</si>
  <si>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</si>
  <si>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</si>
  <si>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</si>
  <si>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</si>
  <si>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</si>
  <si>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</si>
  <si>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</si>
  <si>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</si>
  <si>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</si>
  <si>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</si>
  <si>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</si>
  <si>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</si>
  <si>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</si>
  <si>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</si>
  <si>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</si>
  <si>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</si>
  <si>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</si>
  <si>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</si>
  <si>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</si>
  <si>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</si>
  <si>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</si>
  <si>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</si>
  <si>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</si>
  <si>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</si>
  <si>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</si>
  <si>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</si>
  <si>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</si>
  <si>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</si>
  <si>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</si>
  <si>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</si>
  <si>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</si>
  <si>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</si>
  <si>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</si>
  <si>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</si>
  <si>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</si>
  <si>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</si>
  <si>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</si>
  <si>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</si>
  <si>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</si>
  <si>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</si>
  <si>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</si>
  <si>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</si>
  <si>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</si>
  <si>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</si>
  <si>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</si>
  <si>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</si>
  <si>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</si>
  <si>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</si>
  <si>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</si>
  <si>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</si>
  <si>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</si>
  <si>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</si>
  <si>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</si>
  <si>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</si>
  <si>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</si>
  <si>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</si>
  <si>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</si>
  <si>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</si>
  <si>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</si>
  <si>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</si>
  <si>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</si>
  <si>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</si>
  <si>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</si>
  <si>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</si>
  <si>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</si>
  <si>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</si>
  <si>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</si>
  <si>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</si>
  <si>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</si>
  <si>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</si>
  <si>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</si>
  <si>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</si>
  <si>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</si>
  <si>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</si>
  <si>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</si>
  <si>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</si>
  <si>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</si>
  <si>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</si>
  <si>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</si>
  <si>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</si>
  <si>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</si>
  <si>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</si>
  <si>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</si>
  <si>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</si>
  <si>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</si>
  <si>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</si>
  <si>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</si>
  <si>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</si>
  <si>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</si>
  <si>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</si>
  <si>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</si>
  <si>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</si>
  <si>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</si>
  <si>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</si>
  <si>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</si>
  <si>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</si>
  <si>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</si>
  <si>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</si>
  <si>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</si>
  <si>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</si>
  <si>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</si>
  <si>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</si>
  <si>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</si>
  <si>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</si>
  <si>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</si>
  <si>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</si>
  <si>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</si>
  <si>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</si>
  <si>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</si>
  <si>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</si>
  <si>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</si>
  <si>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</si>
  <si>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</si>
  <si>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</si>
  <si>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</si>
  <si>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</si>
  <si>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</si>
  <si>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</si>
  <si>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</si>
  <si>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</si>
  <si>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</si>
  <si>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</si>
  <si>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</si>
  <si>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</si>
  <si>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</si>
  <si>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</si>
  <si>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</si>
  <si>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</si>
  <si>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</si>
  <si>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</si>
  <si>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</si>
  <si>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</si>
  <si>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</si>
  <si>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</si>
  <si>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</si>
  <si>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</si>
  <si>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</si>
  <si>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</si>
  <si>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</si>
  <si>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</si>
  <si>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</si>
  <si>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</si>
  <si>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</si>
  <si>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</si>
  <si>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</si>
  <si>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</si>
  <si>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</si>
  <si>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</si>
  <si>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</si>
  <si>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</si>
  <si>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</si>
  <si>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</si>
  <si>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</si>
  <si>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</si>
  <si>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</si>
  <si>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</si>
  <si>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</si>
  <si>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</si>
  <si>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</si>
  <si>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</si>
  <si>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</si>
  <si>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</si>
  <si>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</si>
  <si>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</si>
  <si>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</si>
  <si>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</si>
  <si>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</si>
  <si>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</si>
  <si>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</si>
  <si>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</si>
  <si>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</si>
  <si>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</si>
  <si>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</si>
  <si>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</si>
  <si>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</si>
  <si>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</si>
  <si>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</si>
  <si>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</si>
  <si>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</si>
  <si>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</si>
  <si>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</si>
  <si>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</si>
  <si>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</si>
  <si>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</si>
  <si>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</si>
  <si>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</si>
  <si>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</si>
  <si>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</si>
  <si>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</si>
  <si>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</si>
  <si>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</si>
  <si>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</si>
  <si>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</si>
  <si>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</si>
  <si>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</si>
  <si>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</si>
  <si>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</si>
  <si>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</si>
  <si>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</si>
  <si>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</si>
  <si>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</si>
  <si>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</si>
  <si>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</si>
  <si>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</si>
  <si>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</si>
  <si>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</si>
  <si>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</si>
  <si>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</si>
  <si>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</si>
  <si>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</si>
  <si>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</si>
  <si>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</si>
  <si>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</si>
  <si>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</si>
  <si>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</si>
  <si>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</si>
  <si>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</si>
  <si>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</si>
  <si>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</si>
  <si>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</si>
  <si>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</si>
  <si>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</si>
  <si>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</si>
  <si>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</si>
  <si>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</si>
  <si>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</si>
  <si>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</si>
  <si>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</si>
  <si>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</si>
  <si>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</si>
  <si>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</si>
  <si>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</si>
  <si>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</si>
  <si>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</si>
  <si>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</si>
  <si>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</si>
  <si>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</si>
  <si>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</si>
  <si>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</si>
  <si>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</si>
  <si>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</si>
  <si>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</si>
  <si>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</si>
  <si>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</si>
  <si>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</si>
  <si>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</si>
  <si>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</si>
  <si>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</si>
  <si>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</si>
  <si>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</si>
  <si>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</si>
  <si>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</si>
  <si>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</si>
  <si>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</si>
  <si>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</si>
  <si>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</si>
  <si>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</si>
  <si>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</si>
  <si>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</si>
  <si>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</si>
  <si>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</si>
  <si>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</si>
  <si>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</si>
  <si>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</si>
  <si>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</si>
  <si>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</si>
  <si>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</si>
  <si>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</si>
  <si>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</si>
  <si>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</si>
  <si>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</si>
  <si>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</si>
  <si>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</si>
  <si>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</si>
  <si>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</si>
  <si>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</si>
  <si>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</si>
  <si>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</si>
  <si>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</si>
  <si>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</si>
  <si>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</si>
  <si>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</si>
  <si>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</si>
  <si>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</si>
  <si>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</si>
  <si>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</si>
  <si>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</si>
  <si>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</si>
  <si>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</si>
  <si>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</si>
  <si>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</si>
  <si>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</si>
  <si>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</si>
  <si>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</si>
  <si>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</si>
  <si>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</si>
  <si>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</si>
  <si>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</si>
  <si>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</si>
  <si>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</si>
  <si>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</si>
  <si>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</si>
  <si>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</si>
  <si>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</si>
  <si>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</si>
  <si>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</si>
  <si>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</si>
  <si>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</si>
  <si>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</si>
  <si>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</si>
  <si>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</si>
  <si>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</si>
  <si>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</si>
  <si>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</si>
  <si>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</si>
  <si>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</si>
  <si>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</si>
  <si>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</si>
  <si>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</si>
  <si>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</si>
  <si>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</si>
  <si>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</si>
  <si>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</si>
  <si>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</si>
  <si>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</si>
  <si>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</si>
  <si>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</si>
  <si>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</si>
  <si>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</si>
  <si>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</si>
  <si>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</si>
  <si>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</si>
  <si>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</si>
  <si>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</si>
  <si>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</si>
  <si>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</si>
  <si>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</si>
  <si>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</si>
  <si>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</si>
  <si>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</si>
  <si>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</si>
  <si>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</si>
  <si>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</si>
  <si>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</si>
  <si>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</si>
  <si>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</si>
  <si>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</si>
  <si>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</si>
  <si>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</si>
  <si>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</si>
  <si>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</si>
  <si>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</si>
  <si>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</si>
  <si>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</si>
  <si>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</si>
  <si>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</si>
  <si>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</si>
  <si>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</si>
  <si>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</si>
  <si>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</si>
  <si>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</si>
  <si>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</si>
  <si>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</si>
  <si>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</si>
  <si>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</si>
  <si>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</si>
  <si>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</si>
  <si>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</si>
  <si>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</si>
  <si>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</si>
  <si>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</si>
  <si>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</si>
  <si>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</si>
  <si>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</si>
  <si>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</si>
  <si>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</si>
  <si>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</si>
  <si>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</si>
  <si>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</si>
  <si>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</si>
  <si>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</si>
  <si>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</si>
  <si>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</si>
  <si>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</si>
  <si>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</si>
  <si>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</si>
  <si>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</si>
  <si>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</si>
  <si>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</si>
  <si>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</si>
  <si>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</si>
  <si>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</si>
  <si>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</si>
  <si>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</si>
  <si>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</si>
  <si>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</si>
  <si>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</si>
  <si>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</si>
  <si>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</si>
  <si>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</si>
  <si>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</si>
  <si>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</si>
  <si>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</si>
  <si>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</si>
  <si>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</si>
  <si>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</si>
  <si>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</si>
  <si>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</si>
  <si>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</si>
  <si>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</si>
  <si>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</si>
  <si>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</si>
  <si>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</si>
  <si>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</si>
  <si>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</si>
  <si>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</si>
  <si>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</si>
  <si>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</si>
  <si>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</si>
  <si>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</si>
  <si>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</si>
  <si>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</si>
  <si>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</si>
  <si>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</si>
  <si>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</si>
  <si>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</si>
  <si>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</si>
  <si>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</si>
  <si>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</si>
  <si>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</si>
  <si>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</si>
  <si>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</si>
  <si>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</si>
  <si>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</si>
  <si>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</si>
  <si>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</si>
  <si>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</si>
  <si>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</si>
  <si>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</si>
  <si>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</si>
  <si>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</si>
  <si>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</si>
  <si>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</si>
  <si>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</si>
  <si>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</si>
  <si>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</si>
  <si>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</si>
  <si>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</si>
  <si>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</si>
  <si>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</si>
  <si>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</si>
  <si>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</si>
  <si>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</si>
  <si>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</si>
  <si>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</si>
  <si>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</si>
  <si>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</si>
  <si>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</si>
  <si>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</si>
  <si>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</si>
  <si>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</si>
  <si>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</si>
  <si>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</si>
  <si>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</si>
  <si>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</si>
  <si>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</si>
  <si>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</si>
  <si>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</si>
  <si>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</si>
  <si>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</si>
  <si>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</si>
  <si>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</si>
  <si>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</si>
  <si>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</si>
  <si>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</si>
  <si>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</si>
  <si>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</si>
  <si>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</si>
  <si>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</si>
  <si>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</si>
  <si>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</si>
  <si>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</si>
  <si>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</si>
  <si>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</si>
  <si>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</si>
  <si>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</si>
  <si>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</si>
  <si>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</si>
  <si>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</si>
  <si>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</si>
  <si>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</si>
  <si>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</si>
  <si>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</si>
  <si>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</si>
  <si>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</si>
  <si>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</si>
  <si>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</si>
  <si>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</si>
  <si>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</si>
  <si>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</si>
  <si>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</si>
  <si>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</si>
  <si>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</si>
  <si>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</si>
  <si>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</si>
  <si>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</si>
  <si>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</si>
  <si>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</si>
  <si>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</si>
  <si>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</si>
  <si>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</si>
  <si>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</si>
  <si>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</si>
  <si>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</si>
  <si>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</si>
  <si>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</si>
  <si>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</si>
  <si>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</si>
  <si>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</si>
  <si>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</si>
  <si>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</si>
  <si>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</si>
  <si>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</si>
  <si>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</si>
  <si>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</si>
  <si>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</si>
  <si>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</si>
  <si>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</si>
  <si>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</si>
  <si>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</si>
  <si>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</si>
  <si>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</si>
  <si>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</si>
  <si>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</si>
  <si>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</si>
  <si>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</si>
  <si>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</si>
  <si>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</si>
  <si>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</si>
  <si>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</si>
  <si>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</si>
  <si>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</si>
  <si>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</si>
  <si>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</si>
  <si>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</si>
  <si>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</si>
  <si>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</si>
  <si>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</si>
  <si>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</si>
  <si>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</si>
  <si>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</si>
  <si>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</si>
  <si>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</si>
  <si>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</si>
  <si>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</si>
  <si>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</si>
  <si>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</si>
  <si>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</si>
  <si>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</si>
  <si>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</si>
  <si>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</si>
  <si>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</si>
  <si>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</si>
  <si>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</si>
  <si>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</si>
  <si>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</si>
  <si>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</si>
  <si>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</si>
  <si>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</si>
  <si>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</si>
  <si>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</si>
  <si>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</si>
  <si>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</si>
  <si>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</si>
  <si>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</si>
  <si>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</si>
  <si>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</si>
  <si>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</si>
  <si>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</si>
  <si>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</si>
  <si>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</si>
  <si>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</si>
  <si>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</si>
  <si>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</si>
  <si>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</si>
  <si>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</si>
  <si>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</si>
  <si>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</si>
  <si>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</si>
  <si>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</si>
  <si>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</si>
  <si>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</si>
  <si>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</si>
  <si>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</si>
  <si>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</si>
  <si>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</si>
  <si>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</si>
  <si>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</si>
  <si>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</si>
  <si>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</si>
  <si>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</si>
  <si>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</si>
  <si>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</si>
  <si>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</si>
  <si>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</si>
  <si>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</si>
  <si>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</si>
  <si>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</si>
  <si>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</si>
  <si>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</si>
  <si>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</si>
  <si>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</si>
  <si>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</si>
  <si>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</si>
  <si>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</si>
  <si>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</si>
  <si>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</si>
  <si>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</si>
  <si>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</si>
  <si>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</si>
  <si>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</si>
  <si>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</si>
  <si>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</si>
  <si>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</si>
  <si>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</si>
  <si>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</si>
  <si>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</si>
  <si>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</si>
  <si>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</si>
  <si>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</si>
  <si>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</si>
  <si>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</si>
  <si>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</si>
  <si>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</si>
  <si>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</si>
  <si>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</si>
  <si>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</si>
  <si>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</si>
  <si>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</si>
  <si>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</si>
  <si>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</si>
  <si>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</si>
  <si>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</si>
  <si>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</si>
  <si>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</si>
  <si>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</si>
  <si>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</si>
  <si>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</si>
  <si>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</si>
  <si>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</si>
  <si>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</si>
  <si>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</si>
  <si>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</si>
  <si>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</si>
  <si>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</si>
  <si>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</si>
  <si>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</si>
  <si>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</si>
  <si>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</si>
  <si>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</si>
  <si>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</si>
  <si>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</si>
  <si>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</si>
  <si>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</si>
  <si>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</si>
  <si>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</si>
  <si>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</si>
  <si>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</si>
  <si>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</si>
  <si>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</si>
  <si>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</si>
  <si>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</si>
  <si>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</si>
  <si>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</si>
  <si>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</si>
  <si>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</si>
  <si>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</si>
  <si>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</si>
  <si>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</si>
  <si>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</si>
  <si>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</si>
  <si>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</si>
  <si>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</si>
  <si>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</si>
  <si>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</si>
  <si>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</si>
  <si>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</si>
  <si>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</si>
  <si>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</si>
  <si>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</si>
  <si>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</si>
  <si>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</si>
  <si>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</si>
  <si>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</si>
  <si>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</si>
  <si>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</si>
  <si>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</si>
  <si>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</si>
  <si>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</si>
  <si>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</si>
  <si>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</si>
  <si>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</si>
  <si>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</si>
  <si>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</si>
  <si>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</si>
  <si>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</si>
  <si>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</si>
  <si>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</si>
  <si>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</si>
  <si>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</si>
  <si>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</si>
  <si>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</si>
  <si>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</si>
  <si>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</si>
  <si>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</si>
  <si>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</si>
  <si>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</si>
  <si>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</si>
  <si>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</si>
  <si>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</si>
  <si>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</si>
  <si>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</si>
  <si>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</si>
  <si>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</si>
  <si>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</si>
  <si>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</si>
  <si>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</si>
  <si>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</si>
  <si>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</si>
  <si>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</si>
  <si>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</si>
  <si>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</si>
  <si>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</si>
  <si>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</si>
  <si>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</si>
  <si>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</si>
  <si>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</si>
  <si>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</si>
  <si>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</si>
  <si>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</si>
  <si>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</si>
  <si>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</si>
  <si>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</si>
  <si>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</si>
  <si>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</si>
  <si>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</si>
  <si>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</si>
  <si>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</si>
  <si>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</si>
  <si>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</si>
  <si>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</si>
  <si>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</si>
  <si>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</si>
  <si>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</si>
  <si>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</si>
  <si>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</si>
  <si>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</si>
  <si>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</si>
  <si>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</si>
  <si>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</si>
  <si>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</si>
  <si>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</si>
  <si>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</si>
  <si>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</si>
  <si>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</si>
  <si>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</si>
  <si>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</si>
  <si>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</si>
  <si>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</si>
  <si>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</si>
  <si>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</si>
  <si>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</si>
  <si>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</si>
  <si>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</si>
  <si>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</si>
  <si>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</si>
  <si>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</si>
  <si>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</si>
  <si>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</si>
  <si>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</si>
  <si>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</si>
  <si>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</si>
  <si>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</si>
  <si>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</si>
  <si>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</si>
  <si>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</si>
  <si>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</si>
  <si>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</si>
  <si>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</si>
  <si>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</si>
  <si>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</si>
  <si>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</si>
  <si>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</si>
  <si>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</si>
  <si>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</si>
  <si>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</si>
  <si>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</si>
  <si>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</si>
  <si>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</si>
  <si>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</si>
  <si>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</si>
  <si>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</si>
  <si>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</si>
  <si>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</si>
  <si>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</si>
  <si>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</si>
  <si>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</si>
  <si>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</si>
  <si>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</si>
  <si>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</si>
  <si>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</si>
  <si>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</si>
  <si>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</si>
  <si>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</si>
  <si>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</si>
  <si>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</si>
  <si>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</si>
  <si>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</si>
  <si>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</si>
  <si>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</si>
  <si>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</si>
  <si>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</si>
  <si>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</si>
  <si>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</si>
  <si>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</si>
  <si>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</si>
  <si>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</si>
  <si>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</si>
  <si>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</si>
  <si>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</si>
  <si>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</si>
  <si>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</si>
  <si>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</si>
  <si>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</si>
  <si>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</si>
  <si>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</si>
  <si>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</si>
  <si>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</si>
  <si>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</si>
  <si>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</si>
  <si>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</si>
  <si>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</si>
  <si>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</si>
  <si>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</si>
  <si>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</si>
  <si>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</si>
  <si>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</si>
  <si>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</si>
  <si>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</si>
  <si>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</si>
  <si>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</si>
  <si>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</si>
  <si>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</si>
  <si>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</si>
  <si>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</si>
  <si>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</si>
  <si>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</si>
  <si>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</si>
  <si>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</si>
  <si>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</si>
  <si>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</si>
  <si>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</si>
  <si>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</si>
  <si>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</si>
  <si>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</si>
  <si>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</si>
  <si>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</si>
  <si>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</si>
  <si>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</si>
  <si>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</si>
  <si>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</si>
  <si>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</si>
  <si>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</si>
  <si>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</si>
  <si>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</si>
  <si>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</si>
  <si>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</si>
  <si>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</si>
  <si>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</si>
  <si>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</si>
  <si>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</si>
  <si>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</si>
  <si>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</si>
  <si>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</si>
  <si>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</si>
  <si>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</si>
  <si>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</si>
  <si>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</si>
  <si>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</si>
  <si>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</si>
  <si>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</si>
  <si>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</si>
  <si>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</si>
  <si>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</si>
  <si>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</si>
  <si>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</si>
  <si>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</si>
  <si>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</si>
  <si>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</si>
  <si>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</si>
  <si>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</si>
  <si>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</si>
  <si>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</si>
  <si>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</si>
  <si>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</si>
  <si>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</si>
  <si>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</si>
  <si>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</si>
  <si>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</si>
  <si>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</si>
  <si>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</si>
  <si>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</si>
  <si>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</si>
  <si>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</si>
  <si>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</si>
  <si>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</si>
  <si>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</si>
  <si>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</si>
  <si>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</si>
  <si>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</si>
  <si>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</si>
  <si>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</si>
  <si>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</si>
  <si>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</si>
  <si>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</si>
  <si>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</si>
  <si>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</si>
  <si>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</si>
  <si>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</si>
  <si>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</si>
  <si>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</si>
  <si>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</si>
  <si>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</si>
  <si>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</si>
  <si>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</si>
  <si>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</si>
  <si>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</si>
  <si>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</si>
  <si>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</si>
  <si>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</si>
  <si>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</si>
  <si>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</si>
  <si>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</si>
  <si>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</si>
  <si>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</si>
  <si>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</si>
  <si>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</si>
  <si>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</si>
  <si>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</si>
  <si>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</si>
  <si>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</si>
  <si>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</si>
  <si>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</si>
  <si>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</si>
  <si>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</si>
  <si>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</si>
  <si>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</si>
  <si>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</si>
  <si>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</si>
  <si>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</si>
  <si>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</si>
  <si>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</si>
  <si>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</si>
  <si>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</si>
  <si>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</si>
  <si>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</si>
  <si>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</si>
  <si>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</si>
  <si>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</si>
  <si>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</si>
  <si>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</si>
  <si>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</si>
  <si>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</si>
  <si>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</si>
  <si>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</si>
  <si>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</si>
  <si>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</si>
  <si>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</si>
  <si>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</si>
  <si>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</si>
  <si>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</si>
  <si>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</si>
  <si>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</si>
  <si>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</si>
  <si>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</si>
  <si>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</si>
  <si>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</si>
  <si>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</si>
  <si>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</si>
  <si>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</si>
  <si>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</si>
  <si>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</si>
  <si>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</si>
  <si>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</si>
  <si>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</si>
  <si>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</si>
  <si>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</si>
  <si>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</si>
  <si>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</si>
  <si>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</si>
  <si>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</si>
  <si>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</si>
  <si>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</si>
  <si>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</si>
  <si>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</si>
  <si>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</si>
  <si>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</si>
  <si>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</si>
  <si>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</si>
  <si>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</si>
  <si>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</si>
  <si>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</si>
  <si>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</si>
  <si>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</si>
  <si>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</si>
  <si>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</si>
  <si>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</si>
  <si>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</si>
  <si>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</si>
  <si>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</si>
  <si>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</si>
  <si>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</si>
  <si>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</si>
  <si>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</si>
  <si>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</si>
  <si>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</si>
  <si>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</si>
  <si>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</si>
  <si>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</si>
  <si>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</si>
  <si>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</si>
  <si>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</si>
  <si>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</si>
  <si>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</si>
  <si>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</si>
  <si>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</si>
  <si>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</si>
  <si>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</si>
  <si>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</si>
  <si>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</si>
  <si>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</si>
  <si>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</si>
  <si>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</si>
  <si>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</si>
  <si>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</si>
  <si>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</si>
  <si>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</si>
  <si>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</si>
  <si>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</si>
  <si>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</si>
  <si>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</si>
  <si>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</si>
  <si>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</si>
  <si>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</si>
  <si>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</si>
  <si>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</si>
  <si>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</si>
  <si>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</si>
  <si>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</si>
  <si>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</si>
  <si>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</si>
  <si>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</si>
  <si>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</si>
  <si>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</si>
  <si>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</si>
  <si>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</si>
  <si>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</si>
  <si>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</si>
  <si>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</si>
  <si>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</si>
  <si>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</si>
  <si>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</si>
  <si>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</si>
  <si>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</si>
  <si>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</si>
  <si>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</si>
  <si>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</si>
  <si>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</si>
  <si>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</si>
  <si>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</si>
  <si>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</si>
  <si>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</si>
  <si>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</si>
  <si>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</si>
  <si>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</si>
  <si>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</si>
  <si>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</si>
  <si>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</si>
  <si>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</si>
  <si>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</si>
  <si>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</si>
  <si>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</si>
  <si>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</si>
  <si>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</si>
  <si>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</si>
  <si>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</si>
  <si>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</si>
  <si>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</si>
  <si>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</si>
  <si>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</si>
  <si>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</si>
  <si>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</si>
  <si>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</si>
  <si>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</si>
  <si>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</si>
  <si>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</si>
  <si>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</si>
  <si>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</si>
  <si>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</si>
  <si>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</si>
  <si>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</si>
  <si>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</si>
  <si>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</si>
  <si>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</si>
  <si>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</si>
  <si>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</si>
  <si>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</si>
  <si>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</si>
  <si>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</si>
  <si>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</si>
  <si>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</si>
  <si>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</si>
  <si>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</si>
  <si>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</si>
  <si>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</si>
  <si>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</si>
  <si>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</si>
  <si>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</si>
  <si>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</si>
  <si>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</si>
  <si>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</si>
  <si>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</si>
  <si>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</si>
  <si>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</si>
  <si>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</si>
  <si>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</si>
  <si>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</si>
  <si>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</si>
  <si>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</si>
  <si>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</si>
  <si>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</si>
  <si>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</si>
  <si>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</si>
  <si>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</si>
  <si>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</si>
  <si>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</si>
  <si>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</si>
  <si>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</si>
  <si>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</si>
  <si>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</si>
  <si>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</si>
  <si>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</si>
  <si>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</si>
  <si>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</si>
  <si>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</si>
  <si>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</si>
  <si>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</si>
  <si>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</si>
  <si>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</si>
  <si>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</si>
  <si>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</si>
  <si>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</si>
  <si>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</si>
  <si>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</si>
  <si>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</si>
  <si>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</si>
  <si>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</si>
  <si>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</si>
  <si>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</si>
  <si>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</si>
  <si>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</si>
  <si>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</si>
  <si>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</si>
  <si>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</si>
  <si>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</si>
  <si>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</si>
  <si>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</si>
  <si>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</si>
  <si>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</si>
  <si>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</si>
  <si>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</si>
  <si>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</si>
  <si>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</si>
  <si>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</si>
  <si>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</si>
  <si>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</si>
  <si>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</si>
  <si>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</si>
  <si>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</si>
  <si>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</si>
  <si>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</si>
  <si>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</si>
  <si>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</si>
  <si>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</si>
  <si>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</si>
  <si>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</si>
  <si>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</si>
  <si>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</si>
  <si>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</si>
  <si>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</si>
  <si>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</si>
  <si>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</si>
  <si>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</si>
  <si>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</si>
  <si>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</si>
  <si>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</si>
  <si>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</si>
  <si>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</si>
  <si>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</si>
  <si>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</si>
  <si>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</si>
  <si>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</si>
  <si>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</si>
  <si>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</si>
  <si>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</si>
  <si>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</si>
  <si>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</si>
  <si>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</si>
  <si>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</si>
  <si>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</si>
  <si>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</si>
  <si>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</si>
  <si>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</si>
  <si>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</si>
  <si>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</si>
  <si>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</si>
  <si>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</si>
  <si>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</si>
  <si>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</si>
  <si>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</si>
  <si>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</si>
  <si>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</si>
  <si>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</si>
  <si>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</si>
  <si>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</si>
  <si>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</si>
  <si>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</si>
  <si>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</si>
  <si>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</si>
  <si>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</si>
  <si>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</si>
  <si>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</si>
  <si>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</si>
  <si>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</si>
  <si>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</si>
  <si>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</si>
  <si>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</si>
  <si>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</si>
  <si>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</si>
  <si>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</si>
  <si>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</si>
  <si>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</si>
  <si>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</si>
  <si>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</si>
  <si>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</si>
  <si>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</si>
  <si>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</si>
  <si>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</si>
  <si>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</si>
  <si>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</si>
  <si>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</si>
  <si>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</si>
  <si>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</si>
  <si>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</si>
  <si>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</si>
  <si>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</si>
  <si>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</si>
  <si>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</si>
  <si>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</si>
  <si>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</si>
  <si>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</si>
  <si>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</si>
  <si>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</si>
  <si>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</si>
  <si>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</si>
  <si>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</si>
  <si>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</si>
  <si>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</si>
  <si>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</si>
  <si>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</si>
  <si>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</si>
  <si>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</si>
  <si>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</si>
  <si>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</si>
  <si>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</si>
  <si>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</si>
  <si>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</si>
  <si>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</si>
  <si>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</si>
  <si>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</si>
  <si>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</si>
  <si>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</si>
  <si>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</si>
  <si>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</si>
  <si>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</si>
  <si>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</si>
  <si>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</si>
  <si>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</si>
  <si>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</si>
  <si>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</si>
  <si>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</si>
  <si>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</si>
  <si>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</si>
  <si>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</si>
  <si>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</si>
  <si>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</si>
  <si>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</si>
  <si>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</si>
  <si>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</si>
  <si>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</si>
  <si>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</si>
  <si>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</si>
  <si>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</si>
  <si>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</si>
  <si>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</si>
  <si>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</si>
  <si>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</si>
  <si>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</si>
  <si>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</si>
  <si>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</si>
  <si>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</si>
  <si>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</si>
  <si>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</si>
  <si>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</si>
  <si>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</si>
  <si>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</si>
  <si>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</si>
  <si>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</si>
  <si>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</si>
  <si>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</si>
  <si>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</si>
  <si>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</si>
  <si>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</si>
  <si>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</si>
  <si>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</si>
  <si>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</si>
  <si>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</si>
  <si>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</si>
  <si>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</si>
  <si>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</si>
  <si>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</si>
  <si>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</si>
  <si>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</si>
  <si>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</si>
  <si>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</si>
  <si>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</si>
  <si>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</si>
  <si>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</si>
  <si>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</si>
  <si>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</si>
  <si>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</si>
  <si>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</si>
  <si>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</si>
  <si>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</si>
  <si>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</si>
  <si>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</si>
  <si>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</si>
  <si>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</si>
  <si>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</si>
  <si>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</si>
  <si>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</si>
  <si>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</si>
  <si>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</si>
  <si>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</si>
  <si>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</si>
  <si>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</si>
  <si>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</si>
  <si>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</si>
  <si>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</si>
  <si>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</si>
  <si>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</si>
  <si>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</si>
  <si>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</si>
  <si>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</si>
  <si>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</si>
  <si>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</si>
  <si>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</si>
  <si>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</si>
  <si>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</si>
  <si>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</si>
  <si>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</si>
  <si>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</si>
  <si>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</si>
  <si>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</si>
  <si>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</si>
  <si>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</si>
  <si>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</si>
  <si>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</si>
  <si>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</si>
  <si>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</si>
  <si>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</si>
  <si>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</si>
  <si>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</si>
  <si>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</si>
  <si>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</si>
  <si>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</si>
  <si>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</si>
  <si>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</si>
  <si>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</si>
  <si>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</si>
  <si>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</si>
  <si>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</si>
  <si>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</si>
  <si>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</si>
  <si>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</si>
  <si>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</si>
  <si>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</si>
  <si>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</si>
  <si>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</si>
  <si>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</si>
  <si>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</si>
  <si>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</si>
  <si>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</si>
  <si>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</si>
  <si>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</si>
  <si>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</si>
  <si>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</si>
  <si>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</si>
  <si>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</si>
  <si>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</si>
  <si>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</si>
  <si>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</si>
  <si>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</si>
  <si>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</si>
  <si>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</si>
  <si>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</si>
  <si>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</si>
  <si>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</si>
  <si>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</si>
  <si>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</si>
  <si>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</si>
  <si>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</si>
  <si>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</si>
  <si>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</si>
  <si>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</si>
  <si>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</si>
  <si>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</si>
  <si>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</si>
  <si>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</si>
  <si>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</si>
  <si>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</si>
  <si>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</si>
  <si>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</si>
  <si>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</si>
  <si>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</si>
  <si>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</si>
  <si>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</si>
  <si>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</si>
  <si>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</si>
  <si>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</si>
  <si>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</si>
  <si>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</si>
  <si>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</si>
  <si>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</si>
  <si>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</si>
  <si>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</si>
  <si>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</si>
  <si>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</si>
  <si>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</si>
  <si>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</si>
  <si>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</si>
  <si>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</si>
  <si>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</si>
  <si>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</si>
  <si>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</si>
  <si>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</si>
  <si>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</si>
  <si>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</si>
  <si>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</si>
  <si>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</si>
  <si>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</si>
  <si>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</si>
  <si>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</si>
  <si>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</si>
  <si>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</si>
  <si>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</si>
  <si>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</si>
  <si>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</si>
  <si>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</si>
  <si>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</si>
  <si>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</si>
  <si>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</si>
  <si>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</si>
  <si>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</si>
  <si>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</si>
  <si>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</si>
  <si>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</si>
  <si>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</si>
  <si>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</si>
  <si>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</si>
  <si>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</si>
  <si>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</si>
  <si>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</si>
  <si>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</si>
  <si>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</si>
  <si>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</si>
  <si>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</si>
  <si>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</si>
  <si>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</si>
  <si>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</si>
  <si>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</si>
  <si>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</si>
  <si>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</si>
  <si>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</si>
  <si>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</si>
  <si>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</si>
  <si>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</si>
  <si>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</si>
  <si>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</si>
  <si>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</si>
  <si>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</si>
  <si>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</si>
  <si>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</si>
  <si>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</si>
  <si>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</si>
  <si>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</si>
  <si>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</si>
  <si>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</si>
  <si>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</si>
  <si>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</si>
  <si>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</si>
  <si>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</si>
  <si>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</si>
  <si>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</si>
  <si>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</si>
  <si>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</si>
  <si>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</si>
  <si>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</si>
  <si>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</si>
  <si>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</si>
  <si>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</si>
  <si>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</si>
  <si>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</si>
  <si>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</si>
  <si>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</si>
  <si>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</si>
  <si>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</si>
  <si>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</si>
  <si>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</si>
  <si>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</si>
  <si>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</si>
  <si>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</si>
  <si>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</si>
  <si>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</si>
  <si>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</si>
  <si>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</si>
  <si>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</si>
  <si>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</si>
  <si>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</si>
  <si>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</si>
  <si>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</si>
  <si>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</si>
  <si>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</si>
  <si>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</si>
  <si>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</si>
  <si>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</si>
  <si>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</si>
  <si>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</si>
  <si>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</si>
  <si>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</si>
  <si>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</si>
  <si>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</si>
  <si>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</si>
  <si>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</si>
  <si>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</si>
  <si>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</si>
  <si>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</si>
  <si>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</si>
  <si>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</si>
  <si>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</si>
  <si>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</si>
  <si>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</si>
  <si>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</si>
  <si>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</si>
  <si>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</si>
  <si>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</si>
  <si>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</si>
  <si>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</si>
  <si>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</si>
  <si>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</si>
  <si>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</si>
  <si>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</si>
  <si>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</si>
  <si>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</si>
  <si>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</si>
  <si>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</si>
  <si>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</si>
  <si>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</si>
  <si>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</si>
  <si>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</si>
  <si>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</si>
  <si>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</si>
  <si>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</si>
  <si>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</si>
  <si>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</si>
  <si>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</si>
  <si>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</si>
  <si>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</si>
  <si>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</si>
  <si>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</si>
  <si>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</si>
  <si>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</si>
  <si>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</si>
  <si>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</si>
  <si>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</si>
  <si>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</si>
  <si>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</si>
  <si>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</si>
  <si>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</si>
  <si>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</si>
  <si>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</si>
  <si>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</si>
  <si>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</si>
  <si>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</si>
  <si>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</si>
  <si>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</si>
  <si>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</si>
  <si>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</si>
  <si>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</si>
  <si>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</si>
  <si>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</si>
  <si>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</si>
  <si>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</si>
  <si>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</si>
  <si>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</si>
  <si>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</si>
  <si>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</si>
  <si>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</si>
  <si>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</si>
  <si>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</si>
  <si>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</si>
  <si>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</si>
  <si>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</si>
  <si>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</si>
  <si>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</si>
  <si>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</si>
  <si>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</si>
  <si>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</si>
  <si>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</si>
  <si>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</si>
  <si>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</si>
  <si>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</si>
  <si>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</si>
  <si>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</si>
  <si>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</si>
  <si>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</si>
  <si>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</si>
  <si>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</si>
  <si>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</si>
  <si>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</si>
  <si>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</si>
  <si>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</si>
  <si>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</si>
  <si>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</si>
  <si>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</si>
  <si>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</si>
  <si>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</si>
  <si>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</si>
  <si>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</si>
  <si>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</si>
  <si>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</si>
  <si>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</si>
  <si>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</si>
  <si>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</si>
  <si>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</si>
  <si>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</si>
  <si>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</si>
  <si>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</si>
  <si>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</si>
  <si>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</si>
  <si>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</si>
  <si>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</si>
  <si>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</si>
  <si>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</si>
  <si>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</si>
  <si>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</si>
  <si>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</si>
  <si>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</si>
  <si>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</si>
  <si>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</si>
  <si>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</si>
  <si>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</si>
  <si>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</si>
  <si>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</si>
  <si>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</si>
  <si>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</si>
  <si>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</si>
  <si>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</si>
  <si>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</si>
  <si>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</si>
  <si>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</si>
  <si>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</si>
  <si>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</si>
  <si>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</si>
  <si>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</si>
  <si>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</si>
  <si>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</si>
  <si>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</si>
  <si>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</si>
  <si>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</si>
  <si>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</si>
  <si>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</si>
  <si>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</si>
  <si>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</si>
  <si>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</si>
  <si>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</si>
  <si>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</si>
  <si>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</si>
  <si>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</si>
  <si>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</si>
  <si>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</si>
  <si>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</si>
  <si>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</si>
  <si>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</si>
  <si>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</si>
  <si>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</si>
  <si>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</si>
  <si>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</si>
  <si>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</si>
  <si>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</si>
  <si>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</si>
  <si>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</si>
  <si>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</si>
  <si>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</si>
  <si>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</si>
  <si>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</si>
  <si>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</si>
  <si>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</si>
  <si>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</si>
  <si>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</si>
  <si>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</si>
  <si>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</si>
  <si>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</si>
  <si>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</si>
  <si>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</si>
  <si>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</si>
  <si>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</si>
  <si>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</si>
  <si>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</si>
  <si>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</si>
  <si>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</si>
  <si>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</si>
  <si>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</si>
  <si>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</si>
  <si>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</si>
  <si>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</si>
  <si>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</si>
  <si>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</si>
  <si>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</si>
  <si>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</si>
  <si>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</si>
  <si>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</si>
  <si>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</si>
  <si>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</si>
  <si>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</si>
  <si>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</si>
  <si>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</si>
  <si>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</si>
  <si>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</si>
  <si>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</si>
  <si>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</si>
  <si>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</si>
  <si>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</si>
  <si>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</si>
  <si>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</si>
  <si>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</si>
  <si>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</si>
  <si>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</si>
  <si>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</si>
  <si>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</si>
  <si>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</si>
  <si>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</si>
  <si>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</si>
  <si>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</si>
  <si>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</si>
  <si>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</si>
  <si>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</si>
  <si>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</si>
  <si>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</si>
  <si>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</si>
  <si>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</si>
  <si>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</si>
  <si>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</si>
  <si>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</si>
  <si>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</si>
  <si>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</si>
  <si>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</si>
  <si>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</si>
  <si>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</si>
  <si>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</si>
  <si>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</si>
  <si>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</si>
  <si>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</si>
  <si>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</si>
  <si>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</si>
  <si>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</si>
  <si>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</si>
  <si>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</si>
  <si>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</si>
  <si>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</si>
  <si>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</si>
  <si>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</si>
  <si>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</si>
  <si>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</si>
  <si>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</si>
  <si>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</si>
  <si>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</si>
  <si>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</si>
  <si>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</si>
  <si>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</si>
  <si>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</si>
  <si>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</si>
  <si>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</si>
  <si>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</si>
  <si>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</si>
  <si>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</si>
  <si>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</si>
  <si>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</si>
  <si>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</si>
  <si>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</si>
  <si>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</si>
  <si>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</si>
  <si>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</si>
  <si>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</si>
  <si>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</si>
  <si>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</si>
  <si>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</si>
  <si>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</si>
  <si>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</si>
  <si>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</si>
  <si>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</si>
  <si>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</si>
  <si>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</si>
  <si>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</si>
  <si>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</si>
  <si>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</si>
  <si>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</si>
  <si>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</si>
  <si>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</si>
  <si>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</si>
  <si>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</si>
  <si>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</si>
  <si>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</si>
  <si>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</si>
  <si>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</si>
  <si>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</si>
  <si>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</si>
  <si>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</si>
  <si>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</si>
  <si>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</si>
  <si>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</si>
  <si>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</si>
  <si>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</si>
  <si>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</si>
  <si>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</si>
  <si>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</si>
  <si>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</si>
  <si>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</si>
  <si>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</si>
  <si>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</si>
  <si>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</si>
  <si>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</si>
  <si>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</si>
  <si>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</si>
  <si>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</si>
  <si>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</si>
  <si>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</si>
  <si>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</si>
  <si>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</si>
  <si>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</si>
  <si>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</si>
  <si>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</si>
  <si>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</si>
  <si>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</si>
  <si>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</si>
  <si>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</si>
  <si>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</si>
  <si>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</si>
  <si>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</si>
  <si>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</si>
  <si>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</si>
  <si>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</si>
  <si>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</si>
  <si>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</si>
  <si>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</si>
  <si>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</si>
  <si>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</si>
  <si>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</si>
  <si>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</si>
  <si>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</si>
  <si>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</si>
  <si>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</si>
  <si>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</si>
  <si>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</si>
  <si>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</si>
  <si>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</si>
  <si>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</si>
  <si>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</si>
  <si>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</si>
  <si>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</si>
  <si>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</si>
  <si>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</si>
  <si>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</si>
  <si>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</si>
  <si>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</si>
  <si>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</si>
  <si>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</si>
  <si>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</si>
  <si>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</si>
  <si>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</si>
  <si>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</si>
  <si>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</si>
  <si>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</si>
  <si>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</si>
  <si>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</si>
  <si>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</si>
  <si>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</si>
  <si>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</si>
  <si>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</si>
  <si>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</si>
  <si>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</si>
  <si>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</si>
  <si>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</si>
  <si>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</si>
  <si>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</si>
  <si>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</si>
  <si>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</si>
  <si>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</si>
  <si>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</si>
  <si>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</si>
  <si>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</si>
  <si>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</si>
  <si>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</si>
  <si>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</si>
  <si>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</si>
  <si>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</si>
  <si>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</si>
  <si>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</si>
  <si>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</si>
  <si>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</si>
  <si>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</si>
  <si>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</si>
  <si>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</si>
  <si>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</si>
  <si>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</si>
  <si>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</si>
  <si>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</si>
  <si>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</si>
  <si>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</si>
  <si>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</si>
  <si>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</si>
  <si>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</si>
  <si>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</si>
  <si>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</si>
  <si>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</si>
  <si>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</si>
  <si>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</si>
  <si>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</si>
  <si>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</si>
  <si>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</si>
  <si>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</si>
  <si>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</si>
  <si>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</si>
  <si>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</si>
  <si>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</si>
  <si>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</si>
  <si>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</si>
  <si>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</si>
  <si>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</si>
  <si>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</si>
  <si>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</si>
  <si>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</si>
  <si>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</si>
  <si>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</si>
  <si>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</si>
  <si>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</si>
  <si>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</si>
  <si>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</si>
  <si>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</si>
  <si>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</si>
  <si>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</si>
  <si>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</si>
  <si>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</si>
  <si>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</si>
  <si>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</si>
  <si>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</si>
  <si>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</si>
  <si>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</si>
  <si>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</si>
  <si>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</si>
  <si>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</si>
  <si>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</si>
  <si>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</si>
  <si>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</si>
  <si>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</si>
  <si>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</si>
  <si>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</si>
  <si>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</si>
  <si>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</si>
  <si>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</si>
  <si>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</si>
  <si>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</si>
  <si>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</si>
  <si>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</si>
  <si>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</si>
  <si>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</si>
  <si>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</si>
  <si>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</si>
  <si>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</si>
  <si>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</si>
  <si>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</si>
  <si>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</si>
  <si>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</si>
  <si>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</si>
  <si>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</si>
  <si>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</si>
  <si>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</si>
  <si>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</si>
  <si>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</si>
  <si>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</si>
  <si>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</si>
  <si>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</si>
  <si>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</si>
  <si>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</si>
  <si>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</si>
  <si>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</si>
  <si>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</si>
  <si>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</si>
  <si>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</si>
  <si>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</si>
  <si>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</si>
  <si>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</si>
  <si>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</si>
  <si>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</si>
  <si>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</si>
  <si>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</si>
  <si>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</si>
  <si>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</si>
  <si>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</si>
  <si>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</si>
  <si>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</si>
  <si>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</si>
  <si>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</si>
  <si>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</si>
  <si>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</si>
  <si>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</si>
  <si>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</si>
  <si>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</si>
  <si>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</si>
  <si>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</si>
  <si>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</si>
  <si>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</si>
  <si>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</si>
  <si>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</si>
  <si>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</si>
  <si>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</si>
  <si>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</si>
  <si>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</si>
  <si>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</si>
  <si>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</si>
  <si>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</si>
  <si>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</si>
  <si>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</si>
  <si>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</si>
  <si>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</si>
  <si>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</si>
  <si>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</si>
  <si>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</si>
  <si>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</si>
  <si>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</si>
  <si>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</si>
  <si>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</si>
  <si>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</si>
  <si>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</si>
  <si>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</si>
  <si>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</si>
  <si>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</si>
  <si>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</si>
  <si>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</si>
  <si>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</si>
  <si>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</si>
  <si>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</si>
  <si>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</si>
  <si>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</si>
  <si>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</si>
  <si>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</si>
  <si>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</si>
  <si>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</si>
  <si>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</si>
  <si>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</si>
  <si>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</si>
  <si>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</si>
  <si>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</si>
  <si>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</si>
  <si>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</si>
  <si>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</si>
  <si>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</si>
  <si>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</si>
  <si>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</si>
  <si>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</si>
  <si>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</si>
  <si>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</si>
  <si>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</si>
  <si>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</si>
  <si>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</si>
  <si>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</si>
  <si>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</si>
  <si>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</si>
  <si>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</si>
  <si>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</si>
  <si>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</si>
  <si>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</si>
  <si>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</si>
  <si>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</si>
  <si>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</si>
  <si>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</si>
  <si>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</si>
  <si>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</si>
  <si>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</si>
  <si>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</si>
  <si>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</si>
  <si>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</si>
  <si>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</si>
  <si>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</si>
  <si>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</si>
  <si>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</si>
  <si>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</si>
  <si>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</si>
  <si>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</si>
  <si>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</si>
  <si>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</si>
  <si>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</si>
  <si>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</si>
  <si>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</si>
  <si>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</si>
  <si>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</si>
  <si>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</si>
  <si>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</si>
  <si>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</si>
  <si>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</si>
  <si>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</si>
  <si>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</si>
  <si>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</si>
  <si>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</si>
  <si>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</si>
  <si>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</si>
  <si>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</si>
  <si>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</si>
  <si>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</si>
  <si>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</si>
  <si>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</si>
  <si>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</si>
  <si>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</si>
  <si>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</si>
  <si>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</si>
  <si>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</si>
  <si>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</si>
  <si>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</si>
  <si>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</si>
  <si>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</si>
  <si>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</si>
  <si>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</si>
  <si>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</si>
  <si>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</si>
  <si>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</si>
  <si>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</si>
  <si>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</si>
  <si>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</si>
  <si>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</si>
  <si>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</si>
  <si>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</si>
  <si>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</si>
  <si>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</si>
  <si>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</si>
  <si>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</si>
  <si>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</si>
  <si>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</si>
  <si>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</si>
  <si>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</si>
  <si>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</si>
  <si>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</si>
  <si>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</si>
  <si>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</si>
  <si>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</si>
  <si>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</si>
  <si>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</si>
  <si>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</si>
  <si>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</si>
  <si>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</si>
  <si>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</si>
  <si>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</si>
  <si>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</si>
  <si>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</si>
  <si>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</si>
  <si>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</si>
  <si>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</si>
  <si>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</si>
  <si>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</si>
  <si>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</si>
  <si>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</si>
  <si>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</si>
  <si>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</si>
  <si>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</si>
  <si>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</si>
  <si>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</si>
  <si>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</si>
  <si>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</si>
  <si>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</si>
  <si>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</si>
  <si>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</si>
  <si>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</si>
  <si>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</si>
  <si>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</si>
  <si>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</si>
  <si>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</si>
  <si>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</si>
  <si>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</si>
  <si>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</si>
  <si>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</si>
  <si>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</si>
  <si>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</si>
  <si>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</si>
  <si>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</si>
  <si>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</si>
  <si>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</si>
  <si>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</si>
  <si>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</si>
  <si>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</si>
  <si>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</si>
  <si>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</si>
  <si>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</si>
  <si>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</si>
  <si>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</si>
  <si>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</si>
  <si>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</si>
  <si>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</si>
  <si>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</si>
  <si>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</si>
  <si>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</si>
  <si>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</si>
  <si>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</si>
  <si>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</si>
  <si>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</si>
  <si>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</si>
  <si>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</si>
  <si>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</si>
  <si>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</si>
  <si>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</si>
  <si>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</si>
  <si>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</si>
  <si>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</si>
  <si>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</si>
  <si>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</si>
  <si>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</si>
  <si>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</si>
  <si>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</si>
  <si>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</si>
  <si>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</si>
  <si>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</si>
  <si>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</si>
  <si>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</si>
  <si>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</si>
  <si>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</si>
  <si>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</si>
  <si>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</si>
  <si>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</si>
  <si>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</si>
  <si>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</si>
  <si>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</si>
  <si>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</si>
  <si>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</si>
  <si>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</si>
  <si>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</si>
  <si>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</si>
  <si>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</si>
  <si>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</si>
  <si>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</si>
  <si>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</si>
  <si>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</si>
  <si>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</si>
  <si>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</si>
  <si>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</si>
  <si>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</si>
  <si>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</si>
  <si>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</si>
  <si>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</si>
  <si>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</si>
  <si>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</si>
  <si>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</si>
  <si>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</si>
  <si>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</si>
  <si>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</si>
  <si>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</si>
  <si>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</si>
  <si>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</si>
  <si>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</si>
  <si>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</si>
  <si>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</si>
  <si>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</si>
  <si>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</si>
  <si>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</si>
  <si>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</si>
  <si>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</si>
  <si>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</si>
  <si>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</si>
  <si>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</si>
  <si>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</si>
  <si>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</si>
  <si>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</si>
  <si>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</si>
  <si>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</si>
  <si>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</si>
  <si>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</si>
  <si>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</si>
  <si>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</si>
  <si>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</si>
  <si>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</si>
  <si>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</si>
  <si>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</si>
  <si>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</si>
  <si>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</si>
  <si>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</si>
  <si>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</si>
  <si>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</si>
  <si>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</si>
  <si>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</si>
  <si>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</si>
  <si>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</si>
  <si>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</si>
  <si>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</si>
  <si>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</si>
  <si>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</si>
  <si>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</si>
  <si>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</si>
  <si>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</si>
  <si>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</si>
  <si>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</si>
  <si>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</si>
  <si>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</si>
  <si>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</si>
  <si>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</si>
  <si>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</si>
  <si>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</si>
  <si>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</si>
  <si>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</si>
  <si>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</si>
  <si>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</si>
  <si>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</si>
  <si>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</si>
  <si>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</si>
  <si>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</si>
  <si>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</si>
  <si>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</si>
  <si>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</si>
  <si>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</si>
  <si>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</si>
  <si>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</si>
  <si>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</si>
  <si>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</si>
  <si>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</si>
  <si>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</si>
  <si>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</si>
  <si>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</si>
  <si>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</si>
  <si>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</si>
  <si>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</si>
  <si>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</si>
  <si>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</si>
  <si>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</si>
  <si>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</si>
  <si>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</si>
  <si>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</si>
  <si>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</si>
  <si>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</si>
  <si>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</si>
  <si>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</si>
  <si>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</si>
  <si>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</si>
  <si>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</si>
  <si>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</si>
  <si>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</si>
  <si>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</si>
  <si>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</si>
  <si>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</si>
  <si>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</si>
  <si>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</si>
  <si>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</si>
  <si>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</si>
  <si>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</si>
  <si>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</si>
  <si>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</si>
  <si>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</si>
  <si>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</si>
  <si>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</si>
  <si>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</si>
  <si>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</si>
  <si>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</si>
  <si>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</si>
  <si>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</si>
  <si>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</si>
  <si>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</si>
  <si>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</si>
  <si>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</si>
  <si>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</si>
  <si>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</si>
  <si>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</si>
  <si>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</si>
  <si>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</si>
  <si>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</si>
  <si>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</si>
  <si>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</si>
  <si>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</si>
  <si>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</si>
  <si>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</si>
  <si>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</si>
  <si>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</si>
  <si>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</si>
  <si>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</si>
  <si>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</si>
  <si>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</si>
  <si>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</si>
  <si>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</si>
  <si>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</si>
  <si>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</si>
  <si>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</si>
  <si>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</si>
  <si>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</si>
  <si>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</si>
  <si>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</si>
  <si>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</si>
  <si>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</si>
  <si>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</si>
  <si>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</si>
  <si>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</si>
  <si>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</si>
  <si>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</si>
  <si>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</si>
  <si>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</si>
  <si>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</si>
  <si>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</si>
  <si>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</si>
  <si>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</si>
  <si>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</si>
  <si>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</si>
  <si>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</si>
  <si>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</si>
  <si>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</si>
  <si>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</si>
  <si>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</si>
  <si>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</si>
  <si>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</si>
  <si>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</si>
  <si>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</si>
  <si>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</si>
  <si>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</si>
  <si>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</si>
  <si>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</si>
  <si>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</si>
  <si>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</si>
  <si>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</si>
  <si>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</si>
  <si>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</si>
  <si>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</si>
  <si>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</si>
  <si>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</si>
  <si>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</si>
  <si>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</si>
  <si>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</si>
  <si>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</si>
  <si>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</si>
  <si>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</si>
  <si>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</si>
  <si>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</si>
  <si>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</si>
  <si>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</si>
  <si>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</si>
  <si>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</si>
  <si>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</si>
  <si>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</si>
  <si>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</si>
  <si>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</si>
  <si>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</si>
  <si>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</si>
  <si>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</si>
  <si>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</si>
  <si>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</si>
  <si>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</si>
  <si>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</si>
  <si>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</si>
  <si>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</si>
  <si>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</si>
  <si>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</si>
  <si>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</si>
  <si>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</si>
  <si>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</si>
  <si>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</si>
  <si>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</si>
  <si>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</si>
  <si>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</si>
  <si>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</si>
  <si>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</si>
  <si>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</si>
  <si>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</si>
  <si>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</si>
  <si>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</si>
  <si>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</si>
  <si>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</si>
  <si>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</si>
  <si>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</si>
  <si>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</si>
  <si>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</si>
  <si>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</si>
  <si>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</si>
  <si>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</si>
  <si>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</si>
  <si>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</si>
  <si>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</si>
  <si>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</si>
  <si>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</si>
  <si>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</si>
  <si>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</si>
  <si>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</si>
  <si>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</si>
  <si>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</si>
  <si>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</si>
  <si>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</si>
  <si>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</si>
  <si>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</si>
  <si>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</si>
  <si>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</si>
  <si>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</si>
  <si>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</si>
  <si>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</si>
  <si>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</si>
  <si>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</si>
  <si>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</si>
  <si>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</si>
  <si>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</si>
  <si>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</si>
  <si>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</si>
  <si>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</si>
  <si>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</si>
  <si>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</si>
  <si>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</si>
  <si>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</si>
  <si>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</si>
  <si>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</si>
  <si>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</si>
  <si>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</si>
  <si>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</si>
  <si>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</si>
  <si>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</si>
  <si>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</si>
  <si>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</si>
  <si>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</si>
  <si>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</si>
  <si>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</si>
  <si>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</si>
  <si>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</si>
  <si>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</si>
  <si>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</si>
  <si>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</si>
  <si>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</si>
  <si>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</si>
  <si>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</si>
  <si>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</si>
  <si>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</si>
  <si>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</si>
  <si>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</si>
  <si>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</si>
  <si>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</si>
  <si>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</si>
  <si>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</si>
  <si>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</si>
  <si>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</si>
  <si>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</si>
  <si>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</si>
  <si>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</si>
  <si>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</si>
  <si>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</si>
  <si>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</si>
  <si>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</si>
  <si>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</si>
  <si>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</si>
  <si>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</si>
  <si>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</si>
  <si>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</si>
  <si>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</si>
  <si>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</si>
  <si>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</si>
  <si>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</si>
  <si>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</si>
  <si>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</si>
  <si>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</si>
  <si>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</si>
  <si>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</si>
  <si>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</si>
  <si>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</si>
  <si>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</si>
  <si>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</si>
  <si>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</si>
  <si>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</si>
  <si>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</si>
  <si>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</si>
  <si>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</si>
  <si>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</si>
  <si>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</si>
  <si>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</si>
  <si>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</si>
  <si>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</si>
  <si>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</si>
  <si>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</si>
  <si>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</si>
  <si>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</si>
  <si>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</si>
  <si>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</si>
  <si>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</si>
  <si>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</si>
  <si>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</si>
  <si>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</si>
  <si>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</si>
  <si>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</si>
  <si>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</si>
  <si>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</si>
  <si>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</si>
  <si>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</si>
  <si>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</si>
  <si>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</si>
  <si>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</si>
  <si>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</si>
  <si>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</si>
  <si>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</si>
  <si>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</si>
  <si>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</si>
  <si>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</si>
  <si>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</si>
  <si>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</si>
  <si>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</si>
  <si>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</si>
  <si>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</si>
  <si>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</si>
  <si>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</si>
  <si>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</si>
  <si>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</si>
  <si>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</si>
  <si>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</si>
  <si>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</si>
  <si>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</si>
  <si>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</si>
  <si>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</si>
  <si>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</si>
  <si>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</si>
  <si>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</si>
  <si>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</si>
  <si>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</si>
  <si>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</si>
  <si>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</si>
  <si>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</si>
  <si>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</si>
  <si>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</si>
  <si>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</si>
  <si>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</si>
  <si>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</si>
  <si>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</si>
  <si>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</si>
  <si>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</si>
  <si>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</si>
  <si>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</si>
  <si>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</si>
  <si>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</si>
  <si>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</si>
  <si>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</si>
  <si>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</si>
  <si>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</si>
  <si>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</si>
  <si>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</si>
  <si>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</si>
  <si>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</si>
  <si>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</si>
  <si>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</si>
  <si>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</si>
  <si>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</si>
  <si>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</si>
  <si>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</si>
  <si>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</si>
  <si>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</si>
  <si>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</si>
  <si>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</si>
  <si>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</si>
  <si>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</si>
  <si>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</si>
  <si>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</si>
  <si>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</si>
  <si>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</si>
  <si>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</si>
  <si>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</si>
  <si>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</si>
  <si>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</si>
  <si>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</si>
  <si>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</si>
  <si>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</si>
  <si>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</si>
  <si>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</si>
  <si>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</si>
  <si>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</si>
  <si>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</si>
  <si>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</si>
  <si>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</si>
  <si>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</si>
  <si>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</si>
  <si>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</si>
  <si>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</si>
  <si>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</si>
  <si>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</si>
  <si>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</si>
  <si>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</si>
  <si>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</si>
  <si>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</si>
  <si>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</si>
  <si>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</si>
  <si>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</si>
  <si>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</si>
  <si>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</si>
  <si>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</si>
  <si>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</si>
  <si>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</si>
  <si>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</si>
  <si>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</si>
  <si>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</si>
  <si>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</si>
  <si>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</si>
  <si>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</si>
  <si>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</si>
  <si>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</si>
  <si>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</si>
  <si>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</si>
  <si>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</si>
  <si>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</si>
  <si>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</si>
  <si>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</si>
  <si>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</si>
  <si>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</si>
  <si>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</si>
  <si>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</si>
  <si>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</si>
  <si>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</si>
  <si>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</si>
  <si>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</si>
  <si>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</si>
  <si>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</si>
  <si>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</si>
  <si>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</si>
  <si>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</si>
  <si>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</si>
  <si>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</si>
  <si>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</si>
  <si>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</si>
  <si>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</si>
  <si>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</si>
  <si>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</si>
  <si>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</si>
  <si>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</si>
  <si>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</si>
  <si>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</si>
  <si>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</si>
  <si>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</si>
  <si>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</si>
  <si>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</si>
  <si>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</si>
  <si>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</si>
  <si>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</si>
  <si>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</si>
  <si>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</si>
  <si>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</si>
  <si>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</si>
  <si>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</si>
  <si>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</si>
  <si>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</si>
  <si>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</si>
  <si>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</si>
  <si>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</si>
  <si>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</si>
  <si>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</si>
  <si>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</si>
  <si>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</si>
  <si>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</si>
  <si>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</si>
  <si>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</si>
  <si>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</si>
  <si>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</si>
  <si>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</si>
  <si>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</si>
  <si>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</si>
  <si>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</si>
  <si>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</si>
  <si>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</si>
  <si>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</si>
  <si>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</si>
  <si>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</si>
  <si>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</si>
  <si>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</si>
  <si>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</si>
  <si>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</si>
  <si>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</si>
  <si>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</si>
  <si>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</si>
  <si>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</si>
  <si>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</si>
  <si>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</si>
  <si>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</si>
  <si>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</si>
  <si>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</si>
  <si>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</si>
  <si>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</si>
  <si>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</si>
  <si>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</si>
  <si>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</si>
  <si>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</si>
  <si>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</si>
  <si>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</si>
  <si>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</si>
  <si>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</si>
  <si>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</si>
  <si>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</si>
  <si>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</si>
  <si>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</si>
  <si>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</si>
  <si>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</si>
  <si>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</si>
  <si>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</si>
  <si>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</si>
  <si>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</si>
  <si>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</si>
  <si>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</si>
  <si>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</si>
  <si>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</si>
  <si>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</si>
  <si>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</si>
  <si>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</si>
  <si>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</si>
  <si>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</si>
  <si>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</si>
  <si>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</si>
  <si>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</si>
  <si>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</si>
  <si>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</si>
  <si>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</si>
  <si>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</si>
  <si>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</si>
  <si>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</si>
  <si>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</si>
  <si>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</si>
  <si>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</si>
  <si>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</si>
  <si>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</si>
  <si>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</si>
  <si>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</si>
  <si>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</si>
  <si>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</si>
  <si>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</si>
  <si>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</si>
  <si>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</si>
  <si>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</si>
  <si>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</si>
  <si>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</si>
  <si>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</si>
  <si>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</si>
  <si>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</si>
  <si>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</si>
  <si>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</si>
  <si>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</si>
  <si>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</si>
  <si>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</si>
  <si>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</si>
  <si>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</si>
  <si>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</si>
  <si>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</si>
  <si>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</si>
  <si>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</si>
  <si>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</si>
  <si>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</si>
  <si>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</si>
  <si>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</si>
  <si>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</si>
  <si>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</si>
  <si>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</si>
  <si>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</si>
  <si>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</si>
  <si>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</si>
  <si>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</si>
  <si>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</si>
  <si>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</si>
  <si>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</si>
  <si>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</si>
  <si>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</si>
  <si>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</si>
  <si>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</si>
  <si>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</si>
  <si>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</si>
  <si>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</si>
  <si>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</si>
  <si>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</si>
  <si>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</si>
  <si>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</si>
  <si>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</si>
  <si>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</si>
  <si>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</si>
  <si>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</si>
  <si>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</si>
  <si>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</si>
  <si>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</si>
  <si>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</si>
  <si>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</si>
  <si>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</si>
  <si>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</si>
  <si>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</si>
  <si>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</si>
  <si>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</si>
  <si>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</si>
  <si>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</si>
  <si>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</si>
  <si>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</si>
  <si>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</si>
  <si>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</si>
  <si>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</si>
  <si>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</si>
  <si>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</si>
  <si>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</si>
  <si>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</si>
  <si>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</si>
  <si>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</si>
  <si>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</si>
  <si>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</si>
  <si>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</si>
  <si>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</si>
  <si>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</si>
  <si>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</si>
  <si>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</si>
  <si>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</si>
  <si>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</si>
  <si>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</si>
  <si>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</si>
  <si>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</si>
  <si>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</si>
  <si>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</si>
  <si>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</si>
  <si>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</si>
  <si>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</si>
  <si>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</si>
  <si>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</si>
  <si>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</si>
  <si>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</si>
  <si>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</si>
  <si>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</si>
  <si>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</si>
  <si>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</si>
  <si>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</si>
  <si>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</si>
  <si>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</si>
  <si>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</si>
  <si>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</si>
  <si>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</si>
  <si>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</si>
  <si>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</si>
  <si>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</si>
  <si>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</si>
  <si>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</si>
  <si>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</si>
  <si>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</si>
  <si>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</si>
  <si>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</si>
  <si>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</si>
  <si>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</si>
  <si>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</si>
  <si>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</si>
  <si>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</si>
  <si>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</si>
  <si>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</si>
  <si>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</si>
  <si>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</si>
  <si>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</si>
  <si>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</si>
  <si>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</si>
  <si>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</si>
  <si>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</si>
  <si>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</si>
  <si>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</si>
  <si>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</si>
  <si>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</si>
  <si>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</si>
  <si>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</si>
  <si>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</si>
  <si>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</si>
  <si>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</si>
  <si>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</si>
  <si>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</si>
  <si>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</si>
  <si>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</si>
  <si>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</si>
  <si>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</si>
  <si>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</si>
  <si>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</si>
  <si>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</si>
  <si>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</si>
  <si>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</si>
  <si>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</si>
  <si>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</si>
  <si>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</si>
  <si>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</si>
  <si>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</si>
  <si>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</si>
  <si>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</si>
  <si>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</si>
  <si>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</si>
  <si>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</si>
  <si>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</si>
  <si>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</si>
  <si>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</si>
  <si>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</si>
  <si>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</si>
  <si>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</si>
  <si>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</si>
  <si>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</si>
  <si>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</si>
  <si>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</si>
  <si>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</si>
  <si>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</si>
  <si>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</si>
  <si>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</si>
  <si>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</si>
  <si>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</si>
  <si>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</si>
  <si>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</si>
  <si>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</si>
  <si>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</si>
  <si>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</si>
  <si>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</si>
  <si>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</si>
  <si>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</si>
  <si>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</si>
  <si>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</si>
  <si>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</si>
  <si>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</si>
  <si>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</si>
  <si>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</si>
  <si>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</si>
  <si>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</si>
  <si>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</si>
  <si>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</si>
  <si>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</si>
  <si>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</si>
  <si>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</si>
  <si>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</si>
  <si>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</si>
  <si>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</si>
  <si>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</si>
  <si>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</si>
  <si>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</si>
  <si>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</si>
  <si>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</si>
  <si>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</si>
  <si>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</si>
  <si>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</si>
  <si>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</si>
  <si>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</si>
  <si>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</si>
  <si>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</si>
  <si>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</si>
  <si>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</si>
  <si>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</si>
  <si>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</si>
  <si>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</si>
  <si>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</si>
  <si>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</si>
  <si>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</si>
  <si>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</si>
  <si>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</si>
  <si>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</si>
  <si>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</si>
  <si>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</si>
  <si>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</si>
  <si>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</si>
  <si>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</si>
  <si>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</si>
  <si>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</si>
  <si>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</si>
  <si>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</si>
  <si>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</si>
  <si>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</si>
  <si>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</si>
  <si>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</si>
  <si>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</si>
  <si>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</si>
  <si>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</si>
  <si>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</si>
  <si>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</si>
  <si>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</si>
  <si>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</si>
  <si>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</si>
  <si>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</si>
  <si>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</si>
  <si>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</si>
  <si>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</si>
  <si>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</si>
  <si>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</si>
  <si>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</si>
  <si>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</si>
  <si>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</si>
  <si>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</si>
  <si>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</si>
  <si>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</si>
  <si>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</si>
  <si>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</si>
  <si>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</si>
  <si>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</si>
  <si>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</si>
  <si>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</si>
  <si>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</si>
  <si>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</si>
  <si>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</si>
  <si>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</si>
  <si>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</si>
  <si>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</si>
  <si>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</si>
  <si>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</si>
  <si>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</si>
  <si>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</si>
  <si>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</si>
  <si>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</si>
  <si>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</si>
  <si>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</si>
  <si>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</si>
  <si>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</si>
  <si>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</si>
  <si>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</si>
  <si>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</si>
  <si>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</si>
  <si>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</si>
  <si>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</si>
  <si>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</si>
  <si>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</si>
  <si>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</si>
  <si>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</si>
  <si>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</si>
  <si>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</si>
  <si>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</si>
  <si>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</si>
  <si>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</si>
  <si>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</si>
  <si>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</si>
  <si>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</si>
  <si>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</si>
  <si>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</si>
  <si>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</si>
  <si>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</si>
  <si>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</si>
  <si>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</si>
  <si>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</si>
  <si>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</si>
  <si>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</si>
  <si>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</si>
  <si>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</si>
  <si>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</si>
  <si>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</si>
  <si>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</si>
  <si>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</si>
  <si>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</si>
  <si>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</si>
  <si>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</si>
  <si>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</si>
  <si>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</si>
  <si>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</si>
  <si>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</si>
  <si>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</si>
  <si>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</si>
  <si>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</si>
  <si>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</si>
  <si>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</si>
  <si>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</si>
  <si>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</si>
  <si>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</si>
  <si>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</si>
  <si>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</si>
  <si>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</si>
  <si>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</si>
  <si>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</si>
  <si>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</si>
  <si>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</si>
  <si>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</si>
  <si>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</si>
  <si>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</si>
  <si>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</si>
  <si>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</si>
  <si>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</si>
  <si>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</si>
  <si>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</si>
  <si>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</si>
  <si>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</si>
  <si>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</si>
  <si>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</si>
  <si>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</si>
  <si>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</si>
  <si>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</si>
  <si>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</si>
  <si>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</si>
  <si>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</si>
  <si>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</si>
  <si>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</si>
  <si>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</si>
  <si>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</si>
  <si>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</si>
  <si>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</si>
  <si>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</si>
  <si>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</si>
  <si>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</si>
  <si>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</si>
  <si>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</si>
  <si>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</si>
  <si>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</si>
  <si>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</si>
  <si>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</si>
  <si>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</si>
  <si>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</si>
  <si>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</si>
  <si>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</si>
  <si>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</si>
  <si>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</si>
  <si>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</si>
  <si>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</si>
  <si>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</si>
  <si>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</si>
  <si>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</si>
  <si>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</si>
  <si>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</si>
  <si>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</si>
  <si>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</si>
  <si>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</si>
  <si>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</si>
  <si>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</si>
  <si>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</si>
  <si>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</si>
  <si>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</si>
  <si>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</si>
  <si>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</si>
  <si>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</si>
  <si>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</si>
  <si>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</si>
  <si>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</si>
  <si>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</si>
  <si>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</si>
  <si>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</si>
  <si>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</si>
  <si>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</si>
  <si>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</si>
  <si>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</si>
  <si>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</si>
  <si>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</si>
  <si>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</si>
  <si>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</si>
  <si>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</si>
  <si>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</si>
  <si>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</si>
  <si>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</si>
  <si>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</si>
  <si>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</si>
  <si>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</si>
  <si>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</si>
  <si>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</si>
  <si>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</si>
  <si>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</si>
  <si>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</si>
  <si>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</si>
  <si>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</si>
  <si>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</si>
  <si>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</si>
  <si>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</si>
  <si>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</si>
  <si>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</si>
  <si>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</si>
  <si>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</si>
  <si>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</si>
  <si>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</si>
  <si>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</si>
  <si>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</si>
  <si>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</si>
  <si>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</si>
  <si>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</si>
  <si>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</si>
  <si>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</si>
  <si>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</si>
  <si>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</si>
  <si>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</si>
  <si>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</si>
  <si>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</si>
  <si>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</si>
  <si>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</si>
  <si>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</si>
  <si>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</si>
  <si>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</si>
  <si>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</si>
  <si>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</si>
  <si>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</si>
  <si>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</si>
  <si>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</si>
  <si>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</si>
  <si>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</si>
  <si>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</si>
  <si>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</si>
  <si>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</si>
  <si>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</si>
  <si>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</si>
  <si>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</si>
  <si>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</si>
  <si>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</si>
  <si>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</si>
  <si>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</si>
  <si>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</si>
  <si>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</si>
  <si>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</si>
  <si>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</si>
  <si>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</si>
  <si>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</si>
  <si>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</si>
  <si>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</si>
  <si>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</si>
  <si>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</si>
  <si>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</si>
  <si>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</si>
  <si>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</si>
  <si>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</si>
  <si>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</si>
  <si>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</si>
  <si>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</si>
  <si>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</si>
  <si>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</si>
  <si>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</si>
  <si>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</si>
  <si>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</si>
  <si>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</si>
  <si>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</si>
  <si>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</si>
  <si>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</si>
  <si>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</si>
  <si>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</si>
  <si>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</si>
  <si>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</si>
  <si>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</si>
  <si>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</si>
  <si>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</si>
  <si>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</si>
  <si>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</si>
  <si>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</si>
  <si>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</si>
  <si>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</si>
  <si>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</si>
  <si>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</si>
  <si>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</si>
  <si>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</si>
  <si>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</si>
  <si>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</si>
  <si>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</si>
  <si>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</si>
  <si>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</si>
  <si>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</si>
  <si>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</si>
  <si>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</si>
  <si>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</si>
  <si>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</si>
  <si>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</si>
  <si>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</si>
  <si>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</si>
  <si>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</si>
  <si>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</si>
  <si>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</si>
  <si>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</si>
  <si>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</si>
  <si>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</si>
  <si>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</si>
  <si>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</si>
  <si>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</si>
  <si>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</si>
  <si>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</si>
  <si>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</si>
  <si>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</si>
  <si>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</si>
  <si>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</si>
  <si>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</si>
  <si>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</si>
  <si>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</si>
  <si>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</si>
  <si>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</si>
  <si>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</si>
  <si>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</si>
  <si>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</si>
  <si>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</si>
  <si>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</si>
  <si>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</si>
  <si>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</si>
  <si>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</si>
  <si>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</si>
  <si>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</si>
  <si>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</si>
  <si>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</si>
  <si>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</si>
  <si>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</si>
  <si>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</si>
  <si>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</si>
  <si>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</si>
  <si>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</si>
  <si>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</si>
  <si>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</si>
  <si>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</si>
  <si>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</si>
  <si>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</si>
  <si>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</si>
  <si>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</si>
  <si>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</si>
  <si>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</si>
  <si>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</si>
  <si>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</si>
  <si>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</si>
  <si>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</si>
  <si>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</si>
  <si>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</si>
  <si>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</si>
  <si>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</si>
  <si>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</si>
  <si>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</si>
  <si>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</si>
  <si>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</si>
  <si>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</si>
  <si>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</si>
  <si>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</si>
  <si>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</si>
  <si>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</si>
  <si>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</si>
  <si>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</si>
  <si>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</si>
  <si>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</si>
  <si>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</si>
  <si>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</si>
  <si>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</si>
  <si>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</si>
  <si>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</si>
  <si>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</si>
  <si>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</si>
  <si>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</si>
  <si>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</si>
  <si>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</si>
  <si>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</si>
  <si>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</si>
  <si>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</si>
  <si>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</si>
  <si>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</si>
  <si>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</si>
  <si>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</si>
  <si>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</si>
  <si>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</si>
  <si>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</si>
  <si>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</si>
  <si>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</si>
  <si>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</si>
  <si>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</si>
  <si>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</si>
  <si>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</si>
  <si>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</si>
  <si>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</si>
  <si>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</si>
  <si>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</si>
  <si>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</si>
  <si>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</si>
  <si>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</si>
  <si>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</si>
  <si>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</si>
  <si>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</si>
  <si>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</si>
  <si>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</si>
  <si>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</si>
  <si>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</si>
  <si>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</si>
  <si>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</si>
  <si>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</si>
  <si>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</si>
  <si>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</si>
  <si>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</si>
  <si>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</si>
  <si>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</si>
  <si>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</si>
  <si>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</si>
  <si>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</si>
  <si>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</si>
  <si>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</si>
  <si>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</si>
  <si>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</si>
  <si>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</si>
  <si>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</si>
  <si>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</si>
  <si>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</si>
  <si>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</si>
  <si>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</si>
  <si>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</si>
  <si>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</si>
  <si>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</si>
  <si>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</si>
  <si>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</si>
  <si>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</si>
  <si>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</si>
  <si>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</si>
  <si>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</si>
  <si>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</si>
  <si>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</si>
  <si>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</si>
  <si>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</si>
  <si>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</si>
  <si>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</si>
  <si>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</si>
  <si>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</si>
  <si>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</si>
  <si>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</si>
  <si>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</si>
  <si>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</si>
  <si>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</si>
  <si>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</si>
  <si>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</si>
  <si>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</si>
  <si>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</si>
  <si>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</si>
  <si>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</si>
  <si>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</si>
  <si>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</si>
  <si>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</si>
  <si>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</si>
  <si>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</si>
  <si>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</si>
  <si>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</si>
  <si>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</si>
  <si>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</si>
  <si>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</si>
  <si>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</si>
  <si>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</si>
  <si>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</si>
  <si>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</si>
  <si>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</si>
  <si>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</si>
  <si>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</si>
  <si>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</si>
  <si>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</si>
  <si>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</si>
  <si>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</si>
  <si>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</si>
  <si>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</si>
  <si>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</si>
  <si>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</si>
  <si>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</si>
  <si>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</si>
  <si>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</si>
  <si>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</si>
  <si>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</si>
  <si>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</si>
  <si>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</si>
  <si>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</si>
  <si>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</si>
  <si>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</si>
  <si>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</si>
  <si>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</si>
  <si>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</si>
  <si>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</si>
  <si>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</si>
  <si>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</si>
  <si>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</si>
  <si>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</si>
  <si>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</si>
  <si>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</si>
  <si>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</si>
  <si>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</si>
  <si>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</si>
  <si>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</si>
  <si>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</si>
  <si>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</si>
  <si>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</si>
  <si>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</si>
  <si>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</si>
  <si>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</si>
  <si>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</si>
  <si>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</si>
  <si>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</si>
  <si>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</si>
  <si>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</si>
  <si>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</si>
  <si>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</si>
  <si>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</si>
  <si>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</si>
  <si>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</si>
  <si>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</si>
  <si>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</si>
  <si>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</si>
  <si>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</si>
  <si>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</si>
  <si>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</si>
  <si>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</si>
  <si>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</si>
  <si>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</si>
  <si>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</si>
  <si>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</si>
  <si>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</si>
  <si>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</si>
  <si>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</si>
  <si>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</si>
  <si>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</si>
  <si>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</si>
  <si>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</si>
  <si>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</si>
  <si>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</si>
  <si>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</si>
  <si>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</si>
  <si>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</si>
  <si>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</si>
  <si>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</si>
  <si>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</si>
  <si>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</si>
  <si>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</si>
  <si>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</si>
  <si>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</si>
  <si>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</si>
  <si>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</si>
  <si>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</si>
  <si>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</si>
  <si>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</si>
  <si>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</si>
  <si>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</si>
  <si>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</si>
  <si>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</si>
  <si>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</si>
  <si>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</si>
  <si>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</si>
  <si>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</si>
  <si>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</si>
  <si>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</si>
  <si>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</si>
  <si>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</si>
  <si>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</si>
  <si>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</si>
  <si>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</si>
  <si>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</si>
  <si>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</si>
  <si>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</si>
  <si>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</si>
  <si>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</si>
  <si>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</si>
  <si>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</si>
  <si>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</si>
  <si>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</si>
  <si>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</si>
  <si>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</si>
  <si>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</si>
  <si>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</si>
  <si>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</si>
  <si>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</si>
  <si>
    <t>Thermal-Block: T-100 Series</t>
  </si>
  <si>
    <t>Thermal-Block: T-200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</si>
</sst>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4"/>
  <sheetViews>
    <sheetView tabSelected="1" topLeftCell="A347" workbookViewId="0">
      <selection activeCell="A372" sqref="A372"/>
    </sheetView>
  </sheetViews>
  <sheetFormatPr defaultRowHeight="14.25"/>
  <cols>
    <col min="1" max="1" width="15.86328125" bestFit="1" customWidth="1"/>
    <col min="2" max="2" width="21.3984375" bestFit="1" customWidth="1"/>
    <col min="3" max="3" width="23.796875" customWidth="1"/>
    <col min="4" max="4" width="54.1328125" customWidth="1"/>
    <col min="5" max="5" width="106.730468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2</v>
      </c>
      <c r="B2" t="s">
        <v>3130</v>
      </c>
      <c r="C2" t="s">
        <v>3130</v>
      </c>
      <c r="D2" t="str">
        <f>IFERROR(VLOOKUP(C2,Sheet2!A:F,6,FALSE),"")</f>
        <v>Emergency Shutoff Device, Lead Free Brass</v>
      </c>
      <c r="E2" t="s">
        <v>6</v>
      </c>
      <c r="F2" t="s">
        <v>55</v>
      </c>
    </row>
    <row r="3" spans="1:6">
      <c r="A3" t="s">
        <v>2</v>
      </c>
      <c r="B3" t="s">
        <v>2</v>
      </c>
      <c r="C3" t="s">
        <v>2</v>
      </c>
      <c r="D3" t="str">
        <f>IFERROR(VLOOKUP(C3,Sheet2!A:F,6,FALSE),"")</f>
        <v>Emergency Shutoff Device, Standard Brass</v>
      </c>
      <c r="E3" t="s">
        <v>7</v>
      </c>
      <c r="F3" t="s">
        <v>56</v>
      </c>
    </row>
    <row r="4" spans="1:6">
      <c r="A4" t="s">
        <v>8</v>
      </c>
      <c r="B4" t="s">
        <v>75</v>
      </c>
      <c r="C4" t="s">
        <v>9</v>
      </c>
      <c r="D4" t="s">
        <v>19</v>
      </c>
      <c r="E4" t="s">
        <v>20</v>
      </c>
      <c r="F4" t="s">
        <v>52</v>
      </c>
    </row>
    <row r="5" spans="1:6">
      <c r="A5" t="s">
        <v>8</v>
      </c>
      <c r="B5" t="s">
        <v>75</v>
      </c>
      <c r="C5" t="s">
        <v>10</v>
      </c>
      <c r="D5" t="s">
        <v>19</v>
      </c>
      <c r="E5" t="s">
        <v>21</v>
      </c>
      <c r="F5" t="s">
        <v>53</v>
      </c>
    </row>
    <row r="6" spans="1:6">
      <c r="A6" t="s">
        <v>8</v>
      </c>
      <c r="B6" t="s">
        <v>75</v>
      </c>
      <c r="C6" t="s">
        <v>11</v>
      </c>
      <c r="D6" t="s">
        <v>19</v>
      </c>
      <c r="E6" t="s">
        <v>22</v>
      </c>
      <c r="F6" t="s">
        <v>57</v>
      </c>
    </row>
    <row r="7" spans="1:6">
      <c r="A7" t="s">
        <v>8</v>
      </c>
      <c r="B7" t="s">
        <v>75</v>
      </c>
      <c r="C7" t="s">
        <v>12</v>
      </c>
      <c r="D7" t="s">
        <v>19</v>
      </c>
      <c r="E7" t="s">
        <v>23</v>
      </c>
      <c r="F7" t="s">
        <v>58</v>
      </c>
    </row>
    <row r="8" spans="1:6">
      <c r="A8" t="s">
        <v>8</v>
      </c>
      <c r="B8" t="s">
        <v>75</v>
      </c>
      <c r="C8" t="s">
        <v>13</v>
      </c>
      <c r="D8" t="s">
        <v>19</v>
      </c>
      <c r="E8" t="s">
        <v>24</v>
      </c>
      <c r="F8" t="s">
        <v>59</v>
      </c>
    </row>
    <row r="9" spans="1:6">
      <c r="A9" t="s">
        <v>8</v>
      </c>
      <c r="B9" t="s">
        <v>75</v>
      </c>
      <c r="C9" t="s">
        <v>14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15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16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17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18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76</v>
      </c>
      <c r="C14" t="s">
        <v>25</v>
      </c>
      <c r="D14" t="s">
        <v>60</v>
      </c>
      <c r="E14" t="s">
        <v>33</v>
      </c>
      <c r="F14" t="s">
        <v>57</v>
      </c>
    </row>
    <row r="15" spans="1:6">
      <c r="A15" t="s">
        <v>8</v>
      </c>
      <c r="B15" t="s">
        <v>76</v>
      </c>
      <c r="C15" t="s">
        <v>26</v>
      </c>
      <c r="D15" t="s">
        <v>60</v>
      </c>
      <c r="E15" t="s">
        <v>34</v>
      </c>
      <c r="F15" t="s">
        <v>58</v>
      </c>
    </row>
    <row r="16" spans="1:6">
      <c r="A16" t="s">
        <v>8</v>
      </c>
      <c r="B16" t="s">
        <v>76</v>
      </c>
      <c r="C16" t="s">
        <v>27</v>
      </c>
      <c r="D16" t="s">
        <v>60</v>
      </c>
      <c r="E16" t="s">
        <v>35</v>
      </c>
      <c r="F16" t="s">
        <v>59</v>
      </c>
    </row>
    <row r="17" spans="1:6">
      <c r="A17" t="s">
        <v>8</v>
      </c>
      <c r="B17" t="s">
        <v>76</v>
      </c>
      <c r="C17" t="s">
        <v>28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29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30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31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32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77</v>
      </c>
      <c r="C22" t="s">
        <v>36</v>
      </c>
      <c r="D22" t="s">
        <v>47</v>
      </c>
      <c r="E22" t="s">
        <v>46</v>
      </c>
      <c r="F22" t="s">
        <v>52</v>
      </c>
    </row>
    <row r="23" spans="1:6">
      <c r="A23" t="s">
        <v>8</v>
      </c>
      <c r="B23" t="s">
        <v>77</v>
      </c>
      <c r="C23" t="s">
        <v>37</v>
      </c>
      <c r="D23" t="s">
        <v>47</v>
      </c>
      <c r="E23" t="s">
        <v>48</v>
      </c>
      <c r="F23" t="s">
        <v>53</v>
      </c>
    </row>
    <row r="24" spans="1:6">
      <c r="A24" t="s">
        <v>8</v>
      </c>
      <c r="B24" t="s">
        <v>77</v>
      </c>
      <c r="C24" t="s">
        <v>38</v>
      </c>
      <c r="D24" t="s">
        <v>47</v>
      </c>
      <c r="E24" t="s">
        <v>49</v>
      </c>
      <c r="F24" t="s">
        <v>57</v>
      </c>
    </row>
    <row r="25" spans="1:6">
      <c r="A25" t="s">
        <v>8</v>
      </c>
      <c r="B25" t="s">
        <v>77</v>
      </c>
      <c r="C25" t="s">
        <v>39</v>
      </c>
      <c r="D25" t="s">
        <v>47</v>
      </c>
      <c r="E25" t="s">
        <v>50</v>
      </c>
      <c r="F25" t="s">
        <v>58</v>
      </c>
    </row>
    <row r="26" spans="1:6">
      <c r="A26" t="s">
        <v>8</v>
      </c>
      <c r="B26" t="s">
        <v>77</v>
      </c>
      <c r="C26" t="s">
        <v>40</v>
      </c>
      <c r="D26" t="s">
        <v>47</v>
      </c>
      <c r="E26" t="s">
        <v>51</v>
      </c>
      <c r="F26" t="s">
        <v>59</v>
      </c>
    </row>
    <row r="27" spans="1:6">
      <c r="A27" t="s">
        <v>8</v>
      </c>
      <c r="B27" t="s">
        <v>77</v>
      </c>
      <c r="C27" t="s">
        <v>41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42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43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44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45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78</v>
      </c>
      <c r="C32" t="s">
        <v>61</v>
      </c>
      <c r="D32" t="s">
        <v>70</v>
      </c>
      <c r="E32" t="s">
        <v>71</v>
      </c>
      <c r="F32" t="s">
        <v>52</v>
      </c>
    </row>
    <row r="33" spans="1:6">
      <c r="A33" t="s">
        <v>8</v>
      </c>
      <c r="B33" t="s">
        <v>78</v>
      </c>
      <c r="C33" t="s">
        <v>62</v>
      </c>
      <c r="D33" t="s">
        <v>70</v>
      </c>
      <c r="E33" t="s">
        <v>72</v>
      </c>
      <c r="F33" t="s">
        <v>57</v>
      </c>
    </row>
    <row r="34" spans="1:6">
      <c r="A34" t="s">
        <v>8</v>
      </c>
      <c r="B34" t="s">
        <v>78</v>
      </c>
      <c r="C34" t="s">
        <v>63</v>
      </c>
      <c r="D34" t="s">
        <v>70</v>
      </c>
      <c r="E34" t="s">
        <v>73</v>
      </c>
      <c r="F34" t="s">
        <v>58</v>
      </c>
    </row>
    <row r="35" spans="1:6">
      <c r="A35" t="s">
        <v>8</v>
      </c>
      <c r="B35" t="s">
        <v>78</v>
      </c>
      <c r="C35" t="s">
        <v>64</v>
      </c>
      <c r="D35" t="s">
        <v>70</v>
      </c>
      <c r="E35" t="s">
        <v>74</v>
      </c>
      <c r="F35" t="s">
        <v>59</v>
      </c>
    </row>
    <row r="36" spans="1:6">
      <c r="A36" t="s">
        <v>8</v>
      </c>
      <c r="B36" t="s">
        <v>78</v>
      </c>
      <c r="C36" t="s">
        <v>65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66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67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68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69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79</v>
      </c>
      <c r="C41" t="s">
        <v>81</v>
      </c>
      <c r="D41" t="s">
        <v>95</v>
      </c>
      <c r="E41" t="s">
        <v>96</v>
      </c>
      <c r="F41" t="s">
        <v>80</v>
      </c>
    </row>
    <row r="42" spans="1:6">
      <c r="A42" t="s">
        <v>8</v>
      </c>
      <c r="B42" t="s">
        <v>79</v>
      </c>
      <c r="C42" t="s">
        <v>82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83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84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85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86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87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88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89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90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91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92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93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94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112</v>
      </c>
      <c r="C55" t="s">
        <v>98</v>
      </c>
      <c r="D55" t="s">
        <v>3127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99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100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101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102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103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104</v>
      </c>
      <c r="D61" t="s">
        <v>3127</v>
      </c>
      <c r="E61" t="s">
        <v>96</v>
      </c>
      <c r="F61" t="s">
        <v>97</v>
      </c>
    </row>
    <row r="62" spans="1:6">
      <c r="A62" t="s">
        <v>8</v>
      </c>
      <c r="B62" t="s">
        <v>112</v>
      </c>
      <c r="C62" t="s">
        <v>105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106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107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108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109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110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111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3122</v>
      </c>
      <c r="C69" t="s">
        <v>2339</v>
      </c>
      <c r="D69" t="str">
        <f>IFERROR(VLOOKUP(C69,Sheet2!B:F,5,FALSE),"")</f>
        <v>2 Piece, Full Port, Lead Free Brass, Threaded Connection, Stainless Steel Ball &amp; Stem, ISO Mounting Pad, 600 WOG</v>
      </c>
      <c r="E69" t="s">
        <v>3131</v>
      </c>
      <c r="F69" t="s">
        <v>3128</v>
      </c>
    </row>
    <row r="70" spans="1:6">
      <c r="A70" t="s">
        <v>8</v>
      </c>
      <c r="B70" t="s">
        <v>3122</v>
      </c>
      <c r="C70" t="s">
        <v>2346</v>
      </c>
      <c r="D70" t="str">
        <f>IFERROR(VLOOKUP(C70,Sheet2!B:F,5,FALSE),"")</f>
        <v>3-Way, T-Port, Standard Port, Brass, Threaded Connection, ISO Mounting Pad, 400 WOG</v>
      </c>
      <c r="E70" t="s">
        <v>3133</v>
      </c>
      <c r="F70" t="s">
        <v>3132</v>
      </c>
    </row>
    <row r="71" spans="1:6">
      <c r="A71" t="s">
        <v>8</v>
      </c>
      <c r="B71" t="s">
        <v>3122</v>
      </c>
      <c r="C71" t="s">
        <v>2359</v>
      </c>
      <c r="D71" t="str">
        <f>IFERROR(VLOOKUP(C71,Sheet2!B:F,5,FALSE),"")</f>
        <v>3-Way, L-Port,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2379</v>
      </c>
      <c r="D72" t="str">
        <f>IFERROR(VLOOKUP(C72,Sheet2!B:F,5,FALSE),"")</f>
        <v>3 Piece, 4 Bolt, Full Port, Stainless Steel, Threaded Connection, ISO Mounting Pad, 1000 WOG</v>
      </c>
      <c r="E72" t="s">
        <v>3135</v>
      </c>
      <c r="F72" t="s">
        <v>3134</v>
      </c>
    </row>
    <row r="73" spans="1:6">
      <c r="A73" t="s">
        <v>8</v>
      </c>
      <c r="B73" t="s">
        <v>3122</v>
      </c>
      <c r="C73" t="s">
        <v>2370</v>
      </c>
      <c r="D73" t="str">
        <f>IFERROR(VLOOKUP(C73,Sheet2!B:F,5,FALSE),"")</f>
        <v>2 Piece, Full Port, Stainless Steel, Threaded Connection, ISO Mounting Pad, 1000 WOG</v>
      </c>
      <c r="E73" t="s">
        <v>3136</v>
      </c>
      <c r="F73" t="s">
        <v>3137</v>
      </c>
    </row>
    <row r="74" spans="1:6">
      <c r="A74" t="s">
        <v>8</v>
      </c>
      <c r="B74" t="s">
        <v>3122</v>
      </c>
      <c r="C74" t="s">
        <v>2403</v>
      </c>
      <c r="D74" t="str">
        <f>IFERROR(VLOOKUP(C74,Sheet2!B:F,5,FALSE),"")</f>
        <v>2 Piece, Full Port, Stainless Steel, Flanged Connection, ISO Mounting Pad, Class 150</v>
      </c>
      <c r="E74" t="s">
        <v>3139</v>
      </c>
      <c r="F74" t="s">
        <v>3138</v>
      </c>
    </row>
    <row r="75" spans="1:6">
      <c r="A75" t="s">
        <v>8</v>
      </c>
      <c r="B75" t="s">
        <v>3122</v>
      </c>
      <c r="C75" t="s">
        <v>2432</v>
      </c>
      <c r="D75" t="str">
        <f>IFERROR(VLOOKUP(C75,Sheet2!B:F,5,FALSE),"")</f>
        <v>3-Way, T-Port, Full Port, Stainless Steel, Flanged Connection, ISO Mounting Pad, 1000 WOG</v>
      </c>
      <c r="E75" t="s">
        <v>3140</v>
      </c>
      <c r="F75" t="s">
        <v>3141</v>
      </c>
    </row>
    <row r="76" spans="1:6">
      <c r="A76" t="s">
        <v>8</v>
      </c>
      <c r="B76" t="s">
        <v>3122</v>
      </c>
      <c r="C76" t="s">
        <v>2423</v>
      </c>
      <c r="D76" t="str">
        <f>IFERROR(VLOOKUP(C76,Sheet2!B:F,5,FALSE),"")</f>
        <v>3-Way, L-Port,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2450</v>
      </c>
      <c r="D77" t="str">
        <f>IFERROR(VLOOKUP(C77,Sheet2!B:F,5,FALSE),"")</f>
        <v>3-Way, T-Port, Full Port, Stainless Steel, Flanged Connection, ISO Mounting Pad, Class 150</v>
      </c>
      <c r="E77" t="s">
        <v>3143</v>
      </c>
      <c r="F77" t="s">
        <v>3142</v>
      </c>
    </row>
    <row r="78" spans="1:6">
      <c r="A78" t="s">
        <v>8</v>
      </c>
      <c r="B78" t="s">
        <v>3122</v>
      </c>
      <c r="C78" t="s">
        <v>2441</v>
      </c>
      <c r="D78" t="str">
        <f>IFERROR(VLOOKUP(C78,Sheet2!B:F,5,FALSE),"")</f>
        <v>3-Way, L-Port,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3144</v>
      </c>
      <c r="C79" t="s">
        <v>3145</v>
      </c>
      <c r="D79" t="s">
        <v>3029</v>
      </c>
      <c r="E79" t="s">
        <v>3146</v>
      </c>
      <c r="F79" t="s">
        <v>3147</v>
      </c>
    </row>
    <row r="80" spans="1:6">
      <c r="A80" t="s">
        <v>8</v>
      </c>
      <c r="B80" t="s">
        <v>3144</v>
      </c>
      <c r="C80" t="s">
        <v>3149</v>
      </c>
      <c r="D80" t="s">
        <v>3150</v>
      </c>
      <c r="E80" t="s">
        <v>3151</v>
      </c>
      <c r="F80" t="s">
        <v>3148</v>
      </c>
    </row>
    <row r="81" spans="1:6">
      <c r="A81" t="s">
        <v>8</v>
      </c>
      <c r="B81" t="s">
        <v>3144</v>
      </c>
      <c r="C81" t="s">
        <v>3153</v>
      </c>
      <c r="D81" t="s">
        <v>3155</v>
      </c>
      <c r="E81" t="s">
        <v>3157</v>
      </c>
      <c r="F81" t="s">
        <v>3152</v>
      </c>
    </row>
    <row r="82" spans="1:6">
      <c r="A82" t="s">
        <v>8</v>
      </c>
      <c r="B82" t="s">
        <v>3144</v>
      </c>
      <c r="C82" t="s">
        <v>3154</v>
      </c>
      <c r="D82" t="s">
        <v>3156</v>
      </c>
      <c r="E82" t="s">
        <v>3159</v>
      </c>
      <c r="F82" t="s">
        <v>3158</v>
      </c>
    </row>
    <row r="83" spans="1:6">
      <c r="A83" t="s">
        <v>3160</v>
      </c>
      <c r="B83" t="s">
        <v>3161</v>
      </c>
      <c r="C83" t="s">
        <v>927</v>
      </c>
      <c r="D83" t="str">
        <f>IFERROR(VLOOKUP(C83,Sheet2!B:F,5,FALSE),"")</f>
        <v>Thermostatic Balancing Valve, Dezincification Resistant Lead Free Brass, Threaded Connection, Thermometer, 150 CWP</v>
      </c>
      <c r="E83" t="s">
        <v>3164</v>
      </c>
      <c r="F83" t="s">
        <v>3163</v>
      </c>
    </row>
    <row r="84" spans="1:6">
      <c r="A84" t="s">
        <v>3160</v>
      </c>
      <c r="B84" t="s">
        <v>3161</v>
      </c>
      <c r="C84" t="s">
        <v>932</v>
      </c>
      <c r="D84" t="str">
        <f>IFERROR(VLOOKUP(C84,Sheet2!B:F,5,FALSE),"")</f>
        <v>Thermostatic Balancing Valve, Dezincification Resistant Lead Free Brass, Threaded Connection, Thermometer, Check Valve &amp; Dual Isolation, 150 CWP</v>
      </c>
      <c r="E84" s="10" t="s">
        <v>3166</v>
      </c>
      <c r="F84" t="s">
        <v>3177</v>
      </c>
    </row>
    <row r="85" spans="1:6">
      <c r="A85" t="s">
        <v>3160</v>
      </c>
      <c r="B85" t="s">
        <v>3161</v>
      </c>
      <c r="C85" t="s">
        <v>935</v>
      </c>
      <c r="D85" t="str">
        <f>IFERROR(VLOOKUP(C85,Sheet2!B:F,5,FALSE),"")</f>
        <v>Thermostatic Balancing Valve, Dezincification Resistant Lead Free Brass, Threaded Connection, Thermometer, Check Valve, Dual Isolation &amp; Integrated Strainer, 150 CWP</v>
      </c>
      <c r="E85" s="10" t="s">
        <v>3173</v>
      </c>
      <c r="F85" t="s">
        <v>3180</v>
      </c>
    </row>
    <row r="86" spans="1:6">
      <c r="A86" t="s">
        <v>3160</v>
      </c>
      <c r="B86" t="s">
        <v>3161</v>
      </c>
      <c r="C86" t="s">
        <v>938</v>
      </c>
      <c r="D86" t="str">
        <f>IFERROR(VLOOKUP(C86,Sheet2!B:F,5,FALSE),"")</f>
        <v>Thermostatic Balancing Valve, Dezincification Resistant Lead Free Brass, Threaded Connection, Automatic Thermal Disinfection, Thermometer, 150 CWP</v>
      </c>
      <c r="E86" s="10" t="s">
        <v>3165</v>
      </c>
      <c r="F86" t="s">
        <v>3176</v>
      </c>
    </row>
    <row r="87" spans="1:6">
      <c r="A87" t="s">
        <v>3160</v>
      </c>
      <c r="B87" t="s">
        <v>3161</v>
      </c>
      <c r="C87" t="s">
        <v>943</v>
      </c>
      <c r="D87" t="str">
        <f>IFERROR(VLOOKUP(C87,Sheet2!B:F,5,FALSE),"")</f>
        <v>Thermostatic Balancing Valve, Dezincification Resistant Lead Free Brass, Threaded Connection, Automatic Thermal Disinfection, Thermometer, Check Valve &amp; Dual Isolation, 150 CWP</v>
      </c>
      <c r="E87" s="10" t="s">
        <v>3167</v>
      </c>
      <c r="F87" t="s">
        <v>3178</v>
      </c>
    </row>
    <row r="88" spans="1:6">
      <c r="A88" t="s">
        <v>3160</v>
      </c>
      <c r="B88" t="s">
        <v>3161</v>
      </c>
      <c r="C88" t="s">
        <v>946</v>
      </c>
      <c r="D88" t="str">
        <f>IFERROR(VLOOKUP(C88,Sheet2!B:F,5,FALSE),"")</f>
        <v>Thermostatic Balancing Valve, Dezincification Resistant Lead Free Brass, Threaded Connection, Automatic Thermal Disinfection, Thermometer, Check Valve, Dual Isolation &amp; Integrated Strainer, 150 CWP</v>
      </c>
      <c r="E88" s="10" t="s">
        <v>3168</v>
      </c>
      <c r="F88" t="s">
        <v>3181</v>
      </c>
    </row>
    <row r="89" spans="1:6">
      <c r="A89" t="s">
        <v>3160</v>
      </c>
      <c r="B89" t="s">
        <v>3161</v>
      </c>
      <c r="C89" t="s">
        <v>949</v>
      </c>
      <c r="D89" t="str">
        <f>IFERROR(VLOOKUP(C89,Sheet2!B:F,5,FALSE),"")</f>
        <v>Thermostatic Balancing Valve, Dezincification Resistant Lead Free Brass, Threaded Connection, Axial Thermal Disinfection, with Thermometer, without Jomar Actuator, 150 CWP</v>
      </c>
      <c r="E89" s="10" t="s">
        <v>3169</v>
      </c>
      <c r="F89" t="s">
        <v>3175</v>
      </c>
    </row>
    <row r="90" spans="1:6">
      <c r="A90" t="s">
        <v>3160</v>
      </c>
      <c r="B90" t="s">
        <v>3161</v>
      </c>
      <c r="C90" t="s">
        <v>958</v>
      </c>
      <c r="D90" t="str">
        <f>IFERROR(VLOOKUP(C90,Sheet2!B:F,5,FALSE),"")</f>
        <v>Thermostatic Balancing Valve, Dezincification Resistant Lead Free Brass, Threaded Connection, Axial Thermal Disinfection, Thermometer, Check Valve &amp; Dual Isolation, without Jomar Actuator, 150 CWP</v>
      </c>
      <c r="E90" s="10" t="s">
        <v>3170</v>
      </c>
      <c r="F90" t="s">
        <v>3179</v>
      </c>
    </row>
    <row r="91" spans="1:6">
      <c r="A91" t="s">
        <v>3160</v>
      </c>
      <c r="B91" t="s">
        <v>3161</v>
      </c>
      <c r="C91" t="s">
        <v>963</v>
      </c>
      <c r="D91" t="str">
        <f>IFERROR(VLOOKUP(C91,Sheet2!B:F,5,FALSE),"")</f>
        <v>Thermostatic Balancing Valve, Dezincification Resistant Lead Free Brass, Threaded Connection, Actuated Thermal Disinfection, with Thermometer, Check Valve, Dual Isolation &amp; Integrated Strainer, 150 CWP</v>
      </c>
      <c r="E91" s="10" t="s">
        <v>3171</v>
      </c>
      <c r="F91" t="s">
        <v>3182</v>
      </c>
    </row>
    <row r="92" spans="1:6">
      <c r="A92" t="s">
        <v>3160</v>
      </c>
      <c r="B92" t="s">
        <v>3161</v>
      </c>
      <c r="C92" t="s">
        <v>3162</v>
      </c>
      <c r="D92" t="s">
        <v>2830</v>
      </c>
      <c r="E92" t="s">
        <v>3172</v>
      </c>
      <c r="F92" t="s">
        <v>3174</v>
      </c>
    </row>
    <row r="93" spans="1:6">
      <c r="A93" t="s">
        <v>3160</v>
      </c>
      <c r="B93" t="s">
        <v>3161</v>
      </c>
      <c r="C93" t="s">
        <v>895</v>
      </c>
      <c r="D93" t="str">
        <f>IFERROR(VLOOKUP(C93,Sheet2!B:F,5,FALSE),"")</f>
        <v>Manual Balancing Valve, Quarter Turn, Fixed Orifice, Dezincification Resistant Lead Free Brass, Threaded Connection, 600 WOG</v>
      </c>
      <c r="E93" t="s">
        <v>3184</v>
      </c>
      <c r="F93" s="10" t="s">
        <v>3183</v>
      </c>
    </row>
    <row r="94" spans="1:6">
      <c r="A94" t="s">
        <v>3160</v>
      </c>
      <c r="B94" t="s">
        <v>3161</v>
      </c>
      <c r="C94" t="s">
        <v>902</v>
      </c>
      <c r="D94" t="s">
        <v>3186</v>
      </c>
      <c r="E94" t="s">
        <v>3187</v>
      </c>
      <c r="F94" t="s">
        <v>3185</v>
      </c>
    </row>
    <row r="95" spans="1:6">
      <c r="A95" t="s">
        <v>3160</v>
      </c>
      <c r="B95" t="s">
        <v>3161</v>
      </c>
      <c r="C95" t="s">
        <v>3188</v>
      </c>
      <c r="D95" t="s">
        <v>3190</v>
      </c>
      <c r="E95" t="s">
        <v>3191</v>
      </c>
      <c r="F95" t="s">
        <v>3189</v>
      </c>
    </row>
    <row r="96" spans="1:6">
      <c r="A96" t="s">
        <v>3160</v>
      </c>
      <c r="B96" t="s">
        <v>3161</v>
      </c>
      <c r="C96" t="s">
        <v>898</v>
      </c>
      <c r="D96" t="str">
        <f>IFERROR(VLOOKUP(C96,Sheet2!B:F,5,FALSE),"")</f>
        <v>Automatic Balancing Valve, Flow Limiter, Dezincification Resistant Lead Free Brass, Threaded Connection, 600 WOG</v>
      </c>
      <c r="E96" t="s">
        <v>3193</v>
      </c>
      <c r="F96" t="s">
        <v>3192</v>
      </c>
    </row>
    <row r="97" spans="1:6">
      <c r="A97" t="s">
        <v>3160</v>
      </c>
      <c r="B97" t="s">
        <v>3161</v>
      </c>
      <c r="C97" t="s">
        <v>926</v>
      </c>
      <c r="D97" t="str">
        <f>IFERROR(VLOOKUP(C97,Sheet2!B:F,5,FALSE),"")</f>
        <v>Manual Balancing Valve Recirculation Assembly, Quarter Turn, Check Valve &amp; Isolation, Threaded Connection, Drain, 600 WOG</v>
      </c>
      <c r="E97" t="s">
        <v>3197</v>
      </c>
      <c r="F97" t="s">
        <v>3196</v>
      </c>
    </row>
    <row r="98" spans="1:6">
      <c r="A98" t="s">
        <v>3160</v>
      </c>
      <c r="B98" t="s">
        <v>3161</v>
      </c>
      <c r="C98" t="s">
        <v>923</v>
      </c>
      <c r="D98" t="str">
        <f>IFERROR(VLOOKUP(C98,Sheet2!B:F,5,FALSE),"")</f>
        <v>Automatic Flow Limiter Balancing Valve Recirculation Assembly, Check Valve &amp; Isolation, Threaded Connection, Drain, 600 WOG</v>
      </c>
      <c r="E98" t="s">
        <v>3195</v>
      </c>
      <c r="F98" t="s">
        <v>3194</v>
      </c>
    </row>
    <row r="99" spans="1:6">
      <c r="A99" t="s">
        <v>3160</v>
      </c>
      <c r="B99" t="s">
        <v>3198</v>
      </c>
      <c r="C99" t="s">
        <v>3199</v>
      </c>
      <c r="D99" t="s">
        <v>3201</v>
      </c>
      <c r="E99" t="s">
        <v>3202</v>
      </c>
      <c r="F99" t="s">
        <v>3200</v>
      </c>
    </row>
    <row r="100" spans="1:6">
      <c r="A100" t="s">
        <v>3160</v>
      </c>
      <c r="B100" t="s">
        <v>3198</v>
      </c>
      <c r="C100" t="s">
        <v>3204</v>
      </c>
      <c r="D100" t="s">
        <v>3203</v>
      </c>
      <c r="E100" t="s">
        <v>3206</v>
      </c>
      <c r="F100" t="s">
        <v>3205</v>
      </c>
    </row>
    <row r="101" spans="1:6">
      <c r="A101" t="s">
        <v>3160</v>
      </c>
      <c r="B101" t="s">
        <v>3198</v>
      </c>
      <c r="C101" t="s">
        <v>3207</v>
      </c>
      <c r="D101" t="s">
        <v>2894</v>
      </c>
      <c r="E101" t="s">
        <v>3209</v>
      </c>
      <c r="F101" t="s">
        <v>3210</v>
      </c>
    </row>
    <row r="102" spans="1:6">
      <c r="A102" t="s">
        <v>3160</v>
      </c>
      <c r="B102" t="s">
        <v>3198</v>
      </c>
      <c r="C102" t="s">
        <v>3208</v>
      </c>
      <c r="D102" t="s">
        <v>2895</v>
      </c>
      <c r="E102" t="s">
        <v>3211</v>
      </c>
      <c r="F102" t="s">
        <v>3212</v>
      </c>
    </row>
    <row r="103" spans="1:6">
      <c r="A103" t="s">
        <v>3213</v>
      </c>
      <c r="B103" t="s">
        <v>3214</v>
      </c>
      <c r="C103" t="s">
        <v>113</v>
      </c>
      <c r="D103" t="str">
        <f>IFERROR(VLOOKUP(C103,Sheet2!B:F,5,FALSE),"")</f>
        <v>2 Piece, Full Port, Threaded Connection, Lead Free Bronze, Stainless Steel Ball &amp; Stem, 600 WOG</v>
      </c>
      <c r="E103" t="s">
        <v>3235</v>
      </c>
      <c r="F103" t="s">
        <v>3227</v>
      </c>
    </row>
    <row r="104" spans="1:6">
      <c r="A104" t="s">
        <v>3213</v>
      </c>
      <c r="B104" t="s">
        <v>3214</v>
      </c>
      <c r="C104" t="s">
        <v>143</v>
      </c>
      <c r="D104" t="str">
        <f>IFERROR(VLOOKUP(C104,Sheet2!B:F,5,FALSE),"")</f>
        <v>2 Piece, Full Port, Threaded Connection, Lead Free Bronze, Stainless Steel Ball &amp; Stem, Latch Lock Handle, 600 WOG</v>
      </c>
      <c r="E104" t="s">
        <v>3236</v>
      </c>
      <c r="F104" t="s">
        <v>3228</v>
      </c>
    </row>
    <row r="105" spans="1:6">
      <c r="A105" t="s">
        <v>3213</v>
      </c>
      <c r="B105" t="s">
        <v>3214</v>
      </c>
      <c r="C105" t="s">
        <v>163</v>
      </c>
      <c r="D105" t="str">
        <f>IFERROR(VLOOKUP(C105,Sheet2!B:F,5,FALSE),"")</f>
        <v>2 Piece, Full Port, Threaded Connection, Lead Free Bronze, Stainless Steel Ball &amp; Stem, Thermal-Block Insulated Handle, 600 WOG</v>
      </c>
      <c r="E105" t="s">
        <v>3237</v>
      </c>
      <c r="F105" t="s">
        <v>3229</v>
      </c>
    </row>
    <row r="106" spans="1:6">
      <c r="A106" t="s">
        <v>3213</v>
      </c>
      <c r="B106" t="s">
        <v>3214</v>
      </c>
      <c r="C106" t="s">
        <v>177</v>
      </c>
      <c r="D106" t="str">
        <f>IFERROR(VLOOKUP(C106,Sheet2!B:F,5,FALSE),"")</f>
        <v>2 Piece, Full Port, Threaded Connection, Lead Free Bronze, Stainless Steel Ball &amp; Stem, Stem Extension, 600 WOG</v>
      </c>
      <c r="E106" t="s">
        <v>3238</v>
      </c>
      <c r="F106" t="s">
        <v>3230</v>
      </c>
    </row>
    <row r="107" spans="1:6">
      <c r="A107" t="s">
        <v>3213</v>
      </c>
      <c r="B107" t="s">
        <v>3214</v>
      </c>
      <c r="C107" t="s">
        <v>134</v>
      </c>
      <c r="D107" t="str">
        <f>IFERROR(VLOOKUP(C107,Sheet2!B:F,5,FALSE),"")</f>
        <v>2 Piece, Full Port, Solder Connection, Lead Free Bronze, Stainless Steel Ball &amp; Stem, 600 WOG</v>
      </c>
      <c r="E107" t="s">
        <v>3239</v>
      </c>
      <c r="F107" t="s">
        <v>3231</v>
      </c>
    </row>
    <row r="108" spans="1:6">
      <c r="A108" t="s">
        <v>3213</v>
      </c>
      <c r="B108" t="s">
        <v>3214</v>
      </c>
      <c r="C108" t="s">
        <v>154</v>
      </c>
      <c r="D108" t="str">
        <f>IFERROR(VLOOKUP(C108,Sheet2!B:F,5,FALSE),"")</f>
        <v>2 Piece, Full Port, Solder Connection, Lead Free Bronze, Stainless Steel Ball &amp; Stem, Latch Lock Handle, 600 WOG</v>
      </c>
      <c r="E108" t="s">
        <v>3240</v>
      </c>
      <c r="F108" t="s">
        <v>3232</v>
      </c>
    </row>
    <row r="109" spans="1:6">
      <c r="A109" t="s">
        <v>3213</v>
      </c>
      <c r="B109" t="s">
        <v>3214</v>
      </c>
      <c r="C109" t="s">
        <v>170</v>
      </c>
      <c r="D109" t="str">
        <f>IFERROR(VLOOKUP(C109,Sheet2!B:F,5,FALSE),"")</f>
        <v>2 Piece, Full Port, Solder Connection, Lead Free Bronze, Stainless Steel Ball &amp; Stem, Thermal-Block Insulated Handle, 600 WOG</v>
      </c>
      <c r="E109" t="s">
        <v>3241</v>
      </c>
      <c r="F109" t="s">
        <v>3233</v>
      </c>
    </row>
    <row r="110" spans="1:6">
      <c r="A110" t="s">
        <v>3213</v>
      </c>
      <c r="B110" t="s">
        <v>3214</v>
      </c>
      <c r="C110" t="s">
        <v>186</v>
      </c>
      <c r="D110" t="str">
        <f>IFERROR(VLOOKUP(C110,Sheet2!B:F,5,FALSE),"")</f>
        <v>2 Piece, Full Port, Solder Connection, Lead Free Bronze, Stainless Steel Ball &amp; Stem, Stem Extension, 600 WOG</v>
      </c>
      <c r="E110" t="s">
        <v>3242</v>
      </c>
      <c r="F110" t="s">
        <v>3234</v>
      </c>
    </row>
    <row r="111" spans="1:6">
      <c r="A111" t="s">
        <v>3213</v>
      </c>
      <c r="B111" t="s">
        <v>3215</v>
      </c>
      <c r="C111" t="s">
        <v>215</v>
      </c>
      <c r="D111" t="str">
        <f>IFERROR(VLOOKUP(C111,Sheet2!B:F,5,FALSE),"")</f>
        <v>2 Piece, Full Port, Threaded Connection, Dezincification Resistant Brass, 600 WOG</v>
      </c>
      <c r="E111" t="s">
        <v>3247</v>
      </c>
      <c r="F111" t="s">
        <v>3244</v>
      </c>
    </row>
    <row r="112" spans="1:6">
      <c r="A112" t="s">
        <v>3213</v>
      </c>
      <c r="B112" t="s">
        <v>3215</v>
      </c>
      <c r="C112" t="s">
        <v>238</v>
      </c>
      <c r="D112" t="str">
        <f>IFERROR(VLOOKUP(C112,Sheet2!B:F,5,FALSE),"")</f>
        <v xml:space="preserve">2 Piece, Full Port, Threaded Connection, Dezincification Resistant Brass, Latch Lock Handle, 600 WOG </v>
      </c>
      <c r="E112" t="s">
        <v>3248</v>
      </c>
      <c r="F112" t="s">
        <v>3245</v>
      </c>
    </row>
    <row r="113" spans="1:6">
      <c r="A113" t="s">
        <v>3213</v>
      </c>
      <c r="B113" t="s">
        <v>3215</v>
      </c>
      <c r="C113" t="s">
        <v>252</v>
      </c>
      <c r="D113" t="str">
        <f>IFERROR(VLOOKUP(C113,Sheet2!B:F,5,FALSE),"")</f>
        <v xml:space="preserve">2 Piece, Full Port, Threaded Connection, Dezincification Resistant Brass, Thermal-Block Insulated Handle, 600 WOG </v>
      </c>
      <c r="E113" t="s">
        <v>3249</v>
      </c>
      <c r="F113" t="s">
        <v>3246</v>
      </c>
    </row>
    <row r="114" spans="1:6">
      <c r="A114" t="s">
        <v>3213</v>
      </c>
      <c r="B114" t="s">
        <v>3215</v>
      </c>
      <c r="C114" t="s">
        <v>228</v>
      </c>
      <c r="D114" t="str">
        <f>IFERROR(VLOOKUP(C114,Sheet2!B:F,5,FALSE),"")</f>
        <v>2 Piece, Full Port, Solder Connection, Dezincification Resistant Brass, 600 WOG</v>
      </c>
      <c r="E114" t="s">
        <v>3253</v>
      </c>
      <c r="F114" t="s">
        <v>3250</v>
      </c>
    </row>
    <row r="115" spans="1:6">
      <c r="A115" t="s">
        <v>3213</v>
      </c>
      <c r="B115" t="s">
        <v>3215</v>
      </c>
      <c r="C115" t="s">
        <v>245</v>
      </c>
      <c r="D115" t="str">
        <f>IFERROR(VLOOKUP(C115,Sheet2!B:F,5,FALSE),"")</f>
        <v xml:space="preserve">2 Piece, Full Port, Solder Connection, Dezincification Resistant Brass, Latch Lock Handle, 600 WOG </v>
      </c>
      <c r="E115" t="s">
        <v>3254</v>
      </c>
      <c r="F115" t="s">
        <v>3251</v>
      </c>
    </row>
    <row r="116" spans="1:6">
      <c r="A116" t="s">
        <v>3213</v>
      </c>
      <c r="B116" t="s">
        <v>3215</v>
      </c>
      <c r="C116" t="s">
        <v>259</v>
      </c>
      <c r="D116" t="str">
        <f>IFERROR(VLOOKUP(C116,Sheet2!B:F,5,FALSE),"")</f>
        <v xml:space="preserve">2 Piece, Full Port, Solder Connection, Dezincification Resistant Brass, Thermal-Block Insulated Handle, 600 WOG </v>
      </c>
      <c r="E116" t="s">
        <v>3255</v>
      </c>
      <c r="F116" t="s">
        <v>3252</v>
      </c>
    </row>
    <row r="117" spans="1:6">
      <c r="A117" t="s">
        <v>3213</v>
      </c>
      <c r="B117" t="s">
        <v>3215</v>
      </c>
      <c r="C117" t="s">
        <v>266</v>
      </c>
      <c r="D117" t="str">
        <f>IFERROR(VLOOKUP(C117,Sheet2!B:F,5,FALSE),"")</f>
        <v>2 Piece, Full Port, Threaded Connection, Dezincification Resistant Brass, Stainless Steel Ball &amp; Stem, 600 WOG</v>
      </c>
      <c r="E117" t="s">
        <v>3257</v>
      </c>
      <c r="F117" t="s">
        <v>3256</v>
      </c>
    </row>
    <row r="118" spans="1:6">
      <c r="A118" t="s">
        <v>3213</v>
      </c>
      <c r="B118" t="s">
        <v>3215</v>
      </c>
      <c r="C118" t="s">
        <v>280</v>
      </c>
      <c r="D118" t="str">
        <f>IFERROR(VLOOKUP(C118,Sheet2!B:F,5,FALSE),"")</f>
        <v>2 Piece, Full Port, Threaded Connection, Dezincification Reistant Brass, Stainless Steel Ball &amp; Stem, Latch Lock Handle, 600 WOG</v>
      </c>
      <c r="E118" t="s">
        <v>3259</v>
      </c>
      <c r="F118" t="s">
        <v>3258</v>
      </c>
    </row>
    <row r="119" spans="1:6">
      <c r="A119" t="s">
        <v>3213</v>
      </c>
      <c r="B119" t="s">
        <v>3215</v>
      </c>
      <c r="C119" t="s">
        <v>294</v>
      </c>
      <c r="D119" t="str">
        <f>IFERROR(VLOOKUP(C119,Sheet2!B:F,5,FALSE),"")</f>
        <v>2 Piece, Full Port, Threaded Connection, Dezincification Reistant Brass, Stainless Steel Ball &amp; Stem, Thermal-Block Insulated Handle, 600 WOG</v>
      </c>
      <c r="E119" t="s">
        <v>3260</v>
      </c>
      <c r="F119" t="s">
        <v>3246</v>
      </c>
    </row>
    <row r="120" spans="1:6">
      <c r="A120" t="s">
        <v>3213</v>
      </c>
      <c r="B120" t="s">
        <v>3215</v>
      </c>
      <c r="C120" t="s">
        <v>273</v>
      </c>
      <c r="D120" t="str">
        <f>IFERROR(VLOOKUP(C120,Sheet2!B:F,5,FALSE),"")</f>
        <v>2 Piece, Full Port, Solder Connection, Dezincification Resistant Brass, Stainless Steel Ball &amp; Stem, 600 WOG</v>
      </c>
      <c r="E120" t="s">
        <v>3262</v>
      </c>
      <c r="F120" t="s">
        <v>3261</v>
      </c>
    </row>
    <row r="121" spans="1:6">
      <c r="A121" t="s">
        <v>3213</v>
      </c>
      <c r="B121" t="s">
        <v>3215</v>
      </c>
      <c r="C121" t="s">
        <v>287</v>
      </c>
      <c r="D121" t="str">
        <f>IFERROR(VLOOKUP(C121,Sheet2!B:F,5,FALSE),"")</f>
        <v>2 Piece, Full Port, Solder Connection, Dezincification Reistant Brass, Stainless Steel Ball &amp; Stem, Latch Lock Handle, 600 WOG</v>
      </c>
      <c r="E121" t="s">
        <v>3263</v>
      </c>
      <c r="F121" t="s">
        <v>3264</v>
      </c>
    </row>
    <row r="122" spans="1:6">
      <c r="A122" t="s">
        <v>3213</v>
      </c>
      <c r="B122" t="s">
        <v>3215</v>
      </c>
      <c r="C122" t="s">
        <v>301</v>
      </c>
      <c r="D122" t="str">
        <f>IFERROR(VLOOKUP(C122,Sheet2!B:F,5,FALSE),"")</f>
        <v>2 Piece, Full Port, Solder Connection, Dezincification Reistant Brass, Stainless Steel Ball &amp; Stem, Thermal-Block Insulated Handle, 600 WOG</v>
      </c>
      <c r="E122" t="s">
        <v>3266</v>
      </c>
      <c r="F122" t="s">
        <v>3265</v>
      </c>
    </row>
    <row r="123" spans="1:6">
      <c r="A123" t="s">
        <v>3213</v>
      </c>
      <c r="B123" t="s">
        <v>3215</v>
      </c>
      <c r="C123" t="s">
        <v>308</v>
      </c>
      <c r="D123" t="str">
        <f>IFERROR(VLOOKUP(C123,Sheet2!B:F,5,FALSE),"")</f>
        <v>2 Piece, Full Port, Press Connection, Dezincification Resistant Brass, 250 WOG</v>
      </c>
      <c r="E123" t="s">
        <v>3268</v>
      </c>
      <c r="F123" t="s">
        <v>3267</v>
      </c>
    </row>
    <row r="124" spans="1:6">
      <c r="A124" t="s">
        <v>3213</v>
      </c>
      <c r="B124" t="s">
        <v>3215</v>
      </c>
      <c r="C124" t="s">
        <v>320</v>
      </c>
      <c r="D124" t="str">
        <f>IFERROR(VLOOKUP(C124,Sheet2!B:F,5,FALSE),"")</f>
        <v>2-Piece, Full Port, Press Connection, Dezincification Resistant Brass, Latch Lock Handle, 250 WOG</v>
      </c>
      <c r="E124" t="s">
        <v>3270</v>
      </c>
      <c r="F124" t="s">
        <v>3269</v>
      </c>
    </row>
    <row r="125" spans="1:6">
      <c r="A125" t="s">
        <v>3213</v>
      </c>
      <c r="B125" t="s">
        <v>3215</v>
      </c>
      <c r="C125" t="s">
        <v>327</v>
      </c>
      <c r="D125" t="str">
        <f>IFERROR(VLOOKUP(C125,Sheet2!B:F,5,FALSE),"")</f>
        <v>2 Piece, Full Port, Press Connection, Dezincification Resistant Brass, Thermal-Block Insulated Handle, 250 WOG</v>
      </c>
      <c r="E125" t="s">
        <v>3272</v>
      </c>
      <c r="F125" t="s">
        <v>3271</v>
      </c>
    </row>
    <row r="126" spans="1:6">
      <c r="A126" t="s">
        <v>3213</v>
      </c>
      <c r="B126" t="s">
        <v>3215</v>
      </c>
      <c r="C126" t="s">
        <v>315</v>
      </c>
      <c r="D126" t="str">
        <f>IFERROR(VLOOKUP(C126,Sheet2!B:F,5,FALSE),"")</f>
        <v>2 Piece, Full Port, Press XLC Connection, Dezincification Resistant Brass, 200 WOG</v>
      </c>
      <c r="E126" t="s">
        <v>3274</v>
      </c>
      <c r="F126" t="s">
        <v>3273</v>
      </c>
    </row>
    <row r="127" spans="1:6">
      <c r="A127" t="s">
        <v>3213</v>
      </c>
      <c r="B127" t="s">
        <v>3215</v>
      </c>
      <c r="C127" t="s">
        <v>334</v>
      </c>
      <c r="D127" t="str">
        <f>IFERROR(VLOOKUP(C127,Sheet2!B:F,5,FALSE),"")</f>
        <v>2 Piece, Full Port, Press Connection, Dezincification Resistant Brass, Stainless Steel Ball &amp; Stem, 250 WOG</v>
      </c>
      <c r="E127" t="s">
        <v>3275</v>
      </c>
      <c r="F127" t="s">
        <v>3267</v>
      </c>
    </row>
    <row r="128" spans="1:6">
      <c r="A128" t="s">
        <v>3213</v>
      </c>
      <c r="B128" t="s">
        <v>3215</v>
      </c>
      <c r="C128" t="s">
        <v>341</v>
      </c>
      <c r="D128" t="str">
        <f>IFERROR(VLOOKUP(C128,Sheet2!B:F,5,FALSE),"")</f>
        <v>2 Piece, Full Port, Press XLC Connection, Dezincification Resistant Brass, Stainless Steel Ball &amp; Stem, 200 WOG</v>
      </c>
      <c r="E128" t="s">
        <v>3277</v>
      </c>
      <c r="F128" t="s">
        <v>3276</v>
      </c>
    </row>
    <row r="129" spans="1:6">
      <c r="A129" t="s">
        <v>3213</v>
      </c>
      <c r="B129" t="s">
        <v>3215</v>
      </c>
      <c r="C129" t="s">
        <v>345</v>
      </c>
      <c r="D129" t="str">
        <f>IFERROR(VLOOKUP(C129,Sheet2!B:F,5,FALSE),"")</f>
        <v>2 Piece, Full Port, Press Connection, Dezincification Resistant Brass, Stainless Steel Ball &amp; Stem, Latch Lock Handle, 250 WOG</v>
      </c>
      <c r="E129" t="s">
        <v>3279</v>
      </c>
      <c r="F129" t="s">
        <v>3278</v>
      </c>
    </row>
    <row r="130" spans="1:6">
      <c r="A130" t="s">
        <v>3213</v>
      </c>
      <c r="B130" t="s">
        <v>3215</v>
      </c>
      <c r="C130" t="s">
        <v>352</v>
      </c>
      <c r="D130" t="str">
        <f>IFERROR(VLOOKUP(C130,Sheet2!B:F,5,FALSE),"")</f>
        <v>2 Piece, Full Port, Press Connection, Dezincification Resistant Brass, Stainless Steel Ball &amp; Stem, Insulated Handle, 250 WOG</v>
      </c>
      <c r="E130" t="s">
        <v>3280</v>
      </c>
      <c r="F130" t="s">
        <v>3271</v>
      </c>
    </row>
    <row r="131" spans="1:6">
      <c r="A131" t="s">
        <v>3213</v>
      </c>
      <c r="B131" t="s">
        <v>3215</v>
      </c>
      <c r="C131" t="s">
        <v>384</v>
      </c>
      <c r="D131" t="str">
        <f>IFERROR(VLOOKUP(C131,Sheet2!B:F,5,FALSE),"")</f>
        <v>2 Piece, Full Port, Single Union End, Threaded Connection, 600 WOG</v>
      </c>
      <c r="E131" t="s">
        <v>3282</v>
      </c>
      <c r="F131" t="s">
        <v>3281</v>
      </c>
    </row>
    <row r="132" spans="1:6">
      <c r="A132" t="s">
        <v>3213</v>
      </c>
      <c r="B132" t="s">
        <v>3215</v>
      </c>
      <c r="C132" t="s">
        <v>658</v>
      </c>
      <c r="D132" t="str">
        <f>IFERROR(VLOOKUP(C132,Sheet2!B:F,5,FALSE),"")</f>
        <v>2 Piece, Full Port, Dezincification Resistant Lead Free Brass, Threaded x 3/4" Hose Connection, Cap &amp; Strap, 600 WOG</v>
      </c>
      <c r="E132" t="s">
        <v>3284</v>
      </c>
      <c r="F132" t="s">
        <v>3283</v>
      </c>
    </row>
    <row r="133" spans="1:6">
      <c r="A133" t="s">
        <v>3213</v>
      </c>
      <c r="B133" t="s">
        <v>3215</v>
      </c>
      <c r="C133" t="s">
        <v>661</v>
      </c>
      <c r="D133" t="str">
        <f>IFERROR(VLOOKUP(C133,Sheet2!B:F,5,FALSE),"")</f>
        <v>2 Piece, Full Port, Dezincification Resistant Lead Free Brass, Press x 3/4" Hose Connection, Cap &amp; Strap, 600 WOG</v>
      </c>
      <c r="E133" t="s">
        <v>3286</v>
      </c>
      <c r="F133" t="s">
        <v>3285</v>
      </c>
    </row>
    <row r="134" spans="1:6">
      <c r="A134" t="s">
        <v>3769</v>
      </c>
      <c r="B134" t="s">
        <v>3215</v>
      </c>
      <c r="C134" t="s">
        <v>359</v>
      </c>
      <c r="D134" t="str">
        <f>IFERROR(VLOOKUP(C134,Sheet2!B:F,5,FALSE),"")</f>
        <v>Combination Shutoff Valve &amp; Strainer, Full port, Threaded Connection, Dezincification Resistant Brass, 400 WOG</v>
      </c>
      <c r="E134" t="s">
        <v>3288</v>
      </c>
      <c r="F134" t="s">
        <v>3287</v>
      </c>
    </row>
    <row r="135" spans="1:6">
      <c r="A135" t="s">
        <v>3213</v>
      </c>
      <c r="B135" t="s">
        <v>3215</v>
      </c>
      <c r="C135" t="s">
        <v>401</v>
      </c>
      <c r="D135" t="str">
        <f>IFERROR(VLOOKUP(C135,Sheet2!B:F,5,FALSE),"")</f>
        <v>2 Piece, Full Port, Dezincification Resistant Lead Free Brass, Threaded Connection, Stainless Steel Ball &amp; Stem, 600 WOG</v>
      </c>
      <c r="E135" t="s">
        <v>3304</v>
      </c>
      <c r="F135" t="s">
        <v>3289</v>
      </c>
    </row>
    <row r="136" spans="1:6">
      <c r="A136" t="s">
        <v>3213</v>
      </c>
      <c r="B136" t="s">
        <v>3215</v>
      </c>
      <c r="C136" t="s">
        <v>413</v>
      </c>
      <c r="D136" t="str">
        <f>IFERROR(VLOOKUP(C136,Sheet2!B:F,5,FALSE),"")</f>
        <v>2 Piece, Full Port, Dezincification Resistant Lead Free Brass, Solder Connection, Stainless Steel Ball &amp; Stem, 600 WOG</v>
      </c>
      <c r="E136" t="s">
        <v>3303</v>
      </c>
      <c r="F136" t="s">
        <v>3290</v>
      </c>
    </row>
    <row r="137" spans="1:6">
      <c r="A137" t="s">
        <v>3213</v>
      </c>
      <c r="B137" t="s">
        <v>3215</v>
      </c>
      <c r="C137" t="s">
        <v>423</v>
      </c>
      <c r="D137" t="str">
        <f>IFERROR(VLOOKUP(C137,Sheet2!B:F,5,FALSE),"")</f>
        <v>2 Piece, Full Port, Dezincification Resistant Lead Free Brass, Threaded Connection, Stainless Steel Ball &amp; Stem, Latch Lock Handle, 600 WOG</v>
      </c>
      <c r="E137" t="s">
        <v>3302</v>
      </c>
      <c r="F137" t="s">
        <v>3291</v>
      </c>
    </row>
    <row r="138" spans="1:6">
      <c r="A138" t="s">
        <v>3213</v>
      </c>
      <c r="B138" t="s">
        <v>3215</v>
      </c>
      <c r="C138" t="s">
        <v>435</v>
      </c>
      <c r="D138" t="str">
        <f>IFERROR(VLOOKUP(C138,Sheet2!B:F,5,FALSE),"")</f>
        <v>2 Piece, Full Port, Dezincification Resistant Lead Free Brass, Solder Connection, Stainless Steel Ball &amp; Stem, Latch Lock Handle, 600 WOG</v>
      </c>
      <c r="E138" t="s">
        <v>3301</v>
      </c>
      <c r="F138" t="s">
        <v>3292</v>
      </c>
    </row>
    <row r="139" spans="1:6">
      <c r="A139" t="s">
        <v>3213</v>
      </c>
      <c r="B139" t="s">
        <v>3215</v>
      </c>
      <c r="C139" t="s">
        <v>451</v>
      </c>
      <c r="D139" t="str">
        <f>IFERROR(VLOOKUP(C139,Sheet2!B:F,5,FALSE),"")</f>
        <v>2 Piece, Full Port, Dezincification Resistant Lead Free Brass, Press Connection, 250 WOG</v>
      </c>
      <c r="E139" t="s">
        <v>3300</v>
      </c>
      <c r="F139" t="s">
        <v>3293</v>
      </c>
    </row>
    <row r="140" spans="1:6">
      <c r="A140" t="s">
        <v>3213</v>
      </c>
      <c r="B140" t="s">
        <v>3215</v>
      </c>
      <c r="C140" t="s">
        <v>458</v>
      </c>
      <c r="D140" t="str">
        <f>IFERROR(VLOOKUP(C140,Sheet2!B:F,5,FALSE),"")</f>
        <v>2 Piece, Full Port, Dezincification Resistant Lead Free Brass, Press XLC Connection, 250 WOG</v>
      </c>
      <c r="E140" t="s">
        <v>3299</v>
      </c>
      <c r="F140" t="s">
        <v>3294</v>
      </c>
    </row>
    <row r="141" spans="1:6">
      <c r="A141" t="s">
        <v>3213</v>
      </c>
      <c r="B141" t="s">
        <v>3215</v>
      </c>
      <c r="C141" t="s">
        <v>472</v>
      </c>
      <c r="D141" t="str">
        <f>IFERROR(VLOOKUP(C141,Sheet2!B:F,5,FALSE),"")</f>
        <v>2 Piece, Full Port, Dezincification Resistant Lead Free Brass, Press x FIP Connection, 250 WOG</v>
      </c>
      <c r="E141" t="s">
        <v>3298</v>
      </c>
      <c r="F141" t="s">
        <v>3295</v>
      </c>
    </row>
    <row r="142" spans="1:6">
      <c r="A142" t="s">
        <v>3213</v>
      </c>
      <c r="B142" t="s">
        <v>3215</v>
      </c>
      <c r="C142" t="s">
        <v>476</v>
      </c>
      <c r="D142" t="str">
        <f>IFERROR(VLOOKUP(C142,Sheet2!B:F,5,FALSE),"")</f>
        <v>2 Piece, Full Port, Dezincification Resistant Lead Free Brass, Press x MIP Connection, 250 WOG</v>
      </c>
      <c r="E142" t="s">
        <v>3297</v>
      </c>
      <c r="F142" t="s">
        <v>3296</v>
      </c>
    </row>
    <row r="143" spans="1:6">
      <c r="A143" t="s">
        <v>3213</v>
      </c>
      <c r="B143" t="s">
        <v>3215</v>
      </c>
      <c r="C143" t="s">
        <v>480</v>
      </c>
      <c r="D143" t="str">
        <f>IFERROR(VLOOKUP(C143,Sheet2!B:F,5,FALSE),"")</f>
        <v>2 Piece, Full Port, Dezincification Resistant Lead Free Brass, Threaded Connection, 600 WOG</v>
      </c>
      <c r="E143" t="s">
        <v>3319</v>
      </c>
      <c r="F143" t="s">
        <v>3305</v>
      </c>
    </row>
    <row r="144" spans="1:6">
      <c r="A144" t="s">
        <v>3213</v>
      </c>
      <c r="B144" t="s">
        <v>3215</v>
      </c>
      <c r="C144" t="s">
        <v>497</v>
      </c>
      <c r="D144" t="str">
        <f>IFERROR(VLOOKUP(C144,Sheet2!B:F,5,FALSE),"")</f>
        <v>2 Piece, Full Port, Dezincification Resistant Lead Free Brass, Solder Connection, 600 WOG</v>
      </c>
      <c r="E144" t="s">
        <v>3320</v>
      </c>
      <c r="F144" t="s">
        <v>3306</v>
      </c>
    </row>
    <row r="145" spans="1:6">
      <c r="A145" t="s">
        <v>3213</v>
      </c>
      <c r="B145" t="s">
        <v>3215</v>
      </c>
      <c r="C145" t="s">
        <v>514</v>
      </c>
      <c r="D145" t="str">
        <f>IFERROR(VLOOKUP(C145,Sheet2!B:F,5,FALSE),"")</f>
        <v>2 Piece, Full Port, Dezincification Resistant Lead Free Brass, Threaded Connection, Stainless Steel Ball &amp; Stem, Drain, 600 WOG</v>
      </c>
      <c r="E145" t="s">
        <v>3321</v>
      </c>
      <c r="F145" t="s">
        <v>3307</v>
      </c>
    </row>
    <row r="146" spans="1:6">
      <c r="A146" t="s">
        <v>3213</v>
      </c>
      <c r="B146" t="s">
        <v>3215</v>
      </c>
      <c r="C146" t="s">
        <v>518</v>
      </c>
      <c r="D146" t="str">
        <f>IFERROR(VLOOKUP(C146,Sheet2!B:F,5,FALSE),"")</f>
        <v>2 Piece, Full Port, Dezincification Resistant Lead Free Brass, Solder Connection, Stainless Steel Ball &amp; Stem, Drain, 600 WOG</v>
      </c>
      <c r="E146" t="s">
        <v>3322</v>
      </c>
      <c r="F146" s="10" t="s">
        <v>3308</v>
      </c>
    </row>
    <row r="147" spans="1:6">
      <c r="A147" t="s">
        <v>3213</v>
      </c>
      <c r="B147" t="s">
        <v>3215</v>
      </c>
      <c r="C147" t="s">
        <v>522</v>
      </c>
      <c r="D147" t="str">
        <f>IFERROR(VLOOKUP(C147,Sheet2!B:F,5,FALSE),"")</f>
        <v>2 Piece, Full Port, Dezincification Resistant Lead Free Brass, Press Connection, Stainless Steel Ball &amp; Stem, Drain, 600 WOG</v>
      </c>
      <c r="E147" s="10" t="s">
        <v>3323</v>
      </c>
      <c r="F147" t="s">
        <v>3309</v>
      </c>
    </row>
    <row r="148" spans="1:6">
      <c r="A148" t="s">
        <v>3213</v>
      </c>
      <c r="B148" t="s">
        <v>3215</v>
      </c>
      <c r="C148" t="s">
        <v>526</v>
      </c>
      <c r="D148" t="str">
        <f>IFERROR(VLOOKUP(C148,Sheet2!B:F,5,FALSE),"")</f>
        <v>2 Piece, Full Port, Dezincification Resistant Lead Free Brass, Compression Connection, Stainless Steel Ball &amp; Stem, Drain, 600 WOG</v>
      </c>
      <c r="E148" t="s">
        <v>3324</v>
      </c>
      <c r="F148" t="s">
        <v>3310</v>
      </c>
    </row>
    <row r="149" spans="1:6">
      <c r="A149" t="s">
        <v>3213</v>
      </c>
      <c r="B149" t="s">
        <v>3215</v>
      </c>
      <c r="C149" t="s">
        <v>445</v>
      </c>
      <c r="D149" t="str">
        <f>IFERROR(VLOOKUP(C149,Sheet2!B:F,5,FALSE),"")</f>
        <v>2 Piece, Full Port, Dezincification Resistant Lead Free Brass, Threaded Connection, Stainless Steel Ball &amp; Stem, Long Bonnet, T-Handle, 600 WOG</v>
      </c>
      <c r="E149" t="s">
        <v>3325</v>
      </c>
      <c r="F149" t="s">
        <v>3317</v>
      </c>
    </row>
    <row r="150" spans="1:6">
      <c r="A150" t="s">
        <v>3213</v>
      </c>
      <c r="B150" t="s">
        <v>3215</v>
      </c>
      <c r="C150" t="s">
        <v>448</v>
      </c>
      <c r="D150" t="str">
        <f>IFERROR(VLOOKUP(C150,Sheet2!B:F,5,FALSE),"")</f>
        <v>2 Piece, Full Port, Dezincification Resistant Lead Free Brass, Solder Connection, Stainless Steel Ball &amp; Stem, Long Bonnet, T-Handle, 600 WOG</v>
      </c>
      <c r="E150" t="s">
        <v>3326</v>
      </c>
      <c r="F150" t="s">
        <v>3318</v>
      </c>
    </row>
    <row r="151" spans="1:6">
      <c r="A151" t="s">
        <v>3213</v>
      </c>
      <c r="B151" t="s">
        <v>3215</v>
      </c>
      <c r="C151" t="s">
        <v>469</v>
      </c>
      <c r="D151" t="str">
        <f>IFERROR(VLOOKUP(C151,Sheet2!B:F,5,FALSE),"")</f>
        <v>2 Piece, Full Port, Dezincification Resistant Lead Free Brass, Press Connection, Long Bonnet, T-Handle, 250 WOG</v>
      </c>
      <c r="E151" t="s">
        <v>3334</v>
      </c>
      <c r="F151" t="s">
        <v>3327</v>
      </c>
    </row>
    <row r="152" spans="1:6">
      <c r="A152" t="s">
        <v>3213</v>
      </c>
      <c r="B152" t="s">
        <v>3215</v>
      </c>
      <c r="C152" t="s">
        <v>3216</v>
      </c>
      <c r="D152" t="str">
        <f>IFERROR(VLOOKUP(C152,Sheet2!B:F,5,FALSE),"")</f>
        <v>2 Piece, Full Port, Dezincification Resistant Lead Free Brass, Threaded Connection, Stainless Steel Ball &amp; Stem, Thermal Expansion Relief Valve, 600 WOG</v>
      </c>
      <c r="E152" t="s">
        <v>3335</v>
      </c>
      <c r="F152" t="s">
        <v>3328</v>
      </c>
    </row>
    <row r="153" spans="1:6">
      <c r="A153" t="s">
        <v>3213</v>
      </c>
      <c r="B153" t="s">
        <v>3215</v>
      </c>
      <c r="C153" t="s">
        <v>3217</v>
      </c>
      <c r="D153" t="str">
        <f>IFERROR(VLOOKUP(C153,Sheet2!B:F,5,FALSE),"")</f>
        <v>2 Piece, Full Port, Dezincification Resistant Lead Free Brass, Solder Connection, Stainless Steel Ball &amp; Stem, Thermal Expansion Relief Valve, 600 WOG</v>
      </c>
      <c r="E153" t="s">
        <v>3336</v>
      </c>
      <c r="F153" t="s">
        <v>3329</v>
      </c>
    </row>
    <row r="154" spans="1:6">
      <c r="A154" t="s">
        <v>3213</v>
      </c>
      <c r="B154" t="s">
        <v>3215</v>
      </c>
      <c r="C154" t="s">
        <v>3220</v>
      </c>
      <c r="D154" t="str">
        <f>IFERROR(VLOOKUP(C154,Sheet2!B:F,5,FALSE),"")</f>
        <v>2 Piece, Full Port, Dezincification Resistant Lead Free Brass, Crimp Pex Connection, Stainless Steel Ball &amp; Stem, Thermal Expansion Relief Valve, 600 WOG</v>
      </c>
      <c r="E154" t="s">
        <v>3337</v>
      </c>
      <c r="F154" t="s">
        <v>3330</v>
      </c>
    </row>
    <row r="155" spans="1:6">
      <c r="A155" t="s">
        <v>3213</v>
      </c>
      <c r="B155" t="s">
        <v>3215</v>
      </c>
      <c r="C155" t="s">
        <v>3219</v>
      </c>
      <c r="D155" t="str">
        <f>IFERROR(VLOOKUP(C155,Sheet2!B:F,5,FALSE),"")</f>
        <v>2 Piece, Full Port, Dezincification Resistant Lead Free Brass, Expansion Pex Connection, Stainless Steel Ball &amp; Stem, Thermal Expansion Relief Valve, 600 WOG</v>
      </c>
      <c r="E155" t="s">
        <v>3338</v>
      </c>
      <c r="F155" t="s">
        <v>3331</v>
      </c>
    </row>
    <row r="156" spans="1:6">
      <c r="A156" t="s">
        <v>3213</v>
      </c>
      <c r="B156" t="s">
        <v>3215</v>
      </c>
      <c r="C156" t="s">
        <v>533</v>
      </c>
      <c r="D156" t="str">
        <f>IFERROR(VLOOKUP(C156,Sheet2!B:F,5,FALSE),"")</f>
        <v>2 Piece, Standard Port, Dezincification Resistant Lead Free Brass, Expansion Pex Connection, Stainless Steel Ball &amp; Stem, 400 WOG</v>
      </c>
      <c r="E156" t="s">
        <v>3339</v>
      </c>
      <c r="F156" t="s">
        <v>3311</v>
      </c>
    </row>
    <row r="157" spans="1:6">
      <c r="A157" t="s">
        <v>3213</v>
      </c>
      <c r="B157" t="s">
        <v>3215</v>
      </c>
      <c r="C157" t="s">
        <v>543</v>
      </c>
      <c r="D157" t="str">
        <f>IFERROR(VLOOKUP(C157,Sheet2!B:F,5,FALSE),"")</f>
        <v>2 Piece, Standard Port, Dezincification Resistant Lead Free Brass, Solder x Expansion Pex Connection, Stainless Steel Ball &amp; Stem, 400 WOG</v>
      </c>
      <c r="E157" t="s">
        <v>3340</v>
      </c>
      <c r="F157" t="s">
        <v>3332</v>
      </c>
    </row>
    <row r="158" spans="1:6">
      <c r="A158" t="s">
        <v>3213</v>
      </c>
      <c r="B158" t="s">
        <v>3215</v>
      </c>
      <c r="C158" t="s">
        <v>547</v>
      </c>
      <c r="D158" t="str">
        <f>IFERROR(VLOOKUP(C158,Sheet2!B:F,5,FALSE),"")</f>
        <v>2 Piece, Standard Port, Dezincification Resistant Lead Free Brass, MNPT x Expansion Pex Connection, Stainless Steel Ball &amp; Stem, 400 WOG</v>
      </c>
      <c r="E158" t="s">
        <v>3341</v>
      </c>
      <c r="F158" t="s">
        <v>3333</v>
      </c>
    </row>
    <row r="159" spans="1:6">
      <c r="A159" t="s">
        <v>3213</v>
      </c>
      <c r="B159" t="s">
        <v>3215</v>
      </c>
      <c r="C159" t="s">
        <v>550</v>
      </c>
      <c r="D159" t="str">
        <f>IFERROR(VLOOKUP(C159,Sheet2!B:F,5,FALSE),"")</f>
        <v>2 Piece, Standard Port, Dezincification Resistant Lead Free Brass, FNPT x Expansion Pex Connection, Stainless Steel Ball &amp; Stem, 400 WOG</v>
      </c>
      <c r="E159" t="s">
        <v>3349</v>
      </c>
      <c r="F159" t="s">
        <v>3342</v>
      </c>
    </row>
    <row r="160" spans="1:6">
      <c r="A160" t="s">
        <v>3213</v>
      </c>
      <c r="B160" t="s">
        <v>3215</v>
      </c>
      <c r="C160" t="s">
        <v>3221</v>
      </c>
      <c r="D160" t="str">
        <f>IFERROR(VLOOKUP(C160,Sheet2!B:F,5,FALSE),"")</f>
        <v>2 Piece, Standard Port, Dezincification Resistant Lead Free Brass, Press x Expansion Pex Connection, Stainless Steel Ball &amp; Stem, 250 WOG</v>
      </c>
      <c r="E160" s="10" t="s">
        <v>3350</v>
      </c>
      <c r="F160" t="s">
        <v>3343</v>
      </c>
    </row>
    <row r="161" spans="1:6">
      <c r="A161" t="s">
        <v>3213</v>
      </c>
      <c r="B161" t="s">
        <v>3215</v>
      </c>
      <c r="C161" t="s">
        <v>556</v>
      </c>
      <c r="D161" t="str">
        <f>IFERROR(VLOOKUP(C161,Sheet2!B:F,5,FALSE),"")</f>
        <v>2 Piece, Standard Port, Dezincification Resistant Lead Free Brass, Expansion Pex Connection, Stainless Steel Ball &amp; Stem, Drain, 400 WOG</v>
      </c>
      <c r="E161" t="s">
        <v>3351</v>
      </c>
      <c r="F161" t="s">
        <v>3312</v>
      </c>
    </row>
    <row r="162" spans="1:6">
      <c r="A162" t="s">
        <v>3213</v>
      </c>
      <c r="B162" t="s">
        <v>3215</v>
      </c>
      <c r="C162" t="s">
        <v>582</v>
      </c>
      <c r="D162" t="str">
        <f>IFERROR(VLOOKUP(C162,Sheet2!B:F,5,FALSE),"")</f>
        <v>2 Piece, Standard Port, Dezincification Resistant Lead Free Brass, Crimp Pex Connection, 400 WOG</v>
      </c>
      <c r="E162" t="s">
        <v>3352</v>
      </c>
      <c r="F162" t="s">
        <v>3313</v>
      </c>
    </row>
    <row r="163" spans="1:6">
      <c r="A163" t="s">
        <v>3213</v>
      </c>
      <c r="B163" t="s">
        <v>3215</v>
      </c>
      <c r="C163" t="s">
        <v>589</v>
      </c>
      <c r="D163" t="str">
        <f>IFERROR(VLOOKUP(C163,Sheet2!B:F,5,FALSE),"")</f>
        <v>2 Piece, Standard Port, Dezincification Resistant Lead Free Brass, Solder x Crimp Pex Connection, 400 WOG</v>
      </c>
      <c r="E163" t="s">
        <v>3353</v>
      </c>
      <c r="F163" t="s">
        <v>3344</v>
      </c>
    </row>
    <row r="164" spans="1:6">
      <c r="A164" t="s">
        <v>3213</v>
      </c>
      <c r="B164" t="s">
        <v>3215</v>
      </c>
      <c r="C164" t="s">
        <v>593</v>
      </c>
      <c r="D164" t="str">
        <f>IFERROR(VLOOKUP(C164,Sheet2!B:F,5,FALSE),"")</f>
        <v>2 Piece, Standard Port, Dezincification Resistant Lead Free Brass, MNPT x Crimp Pex Connection, 400 WOG</v>
      </c>
      <c r="E164" t="s">
        <v>3354</v>
      </c>
      <c r="F164" t="s">
        <v>3345</v>
      </c>
    </row>
    <row r="165" spans="1:6">
      <c r="A165" t="s">
        <v>3213</v>
      </c>
      <c r="B165" t="s">
        <v>3215</v>
      </c>
      <c r="C165" t="s">
        <v>595</v>
      </c>
      <c r="D165" t="str">
        <f>IFERROR(VLOOKUP(C165,Sheet2!B:F,5,FALSE),"")</f>
        <v>2 Piece, Standard Port, Dezincification Resistant Lead Free Brass, FNPT x Crimp Pex Connection, 400 WOG</v>
      </c>
      <c r="E165" t="s">
        <v>3355</v>
      </c>
      <c r="F165" t="s">
        <v>3346</v>
      </c>
    </row>
    <row r="166" spans="1:6">
      <c r="A166" t="s">
        <v>3213</v>
      </c>
      <c r="B166" t="s">
        <v>3215</v>
      </c>
      <c r="C166" t="s">
        <v>3222</v>
      </c>
      <c r="D166" t="str">
        <f>IFERROR(VLOOKUP(C166,Sheet2!B:F,5,FALSE),"")</f>
        <v>2 Piece, Standard Port, Dezincification Resistant Lead Free Brass, Press x Crimp Pex Connection, 400 WOG</v>
      </c>
      <c r="E166" t="s">
        <v>3356</v>
      </c>
      <c r="F166" t="s">
        <v>3347</v>
      </c>
    </row>
    <row r="167" spans="1:6">
      <c r="A167" t="s">
        <v>3213</v>
      </c>
      <c r="B167" t="s">
        <v>3215</v>
      </c>
      <c r="C167" t="s">
        <v>602</v>
      </c>
      <c r="D167" t="str">
        <f>IFERROR(VLOOKUP(C167,Sheet2!B:F,5,FALSE),"")</f>
        <v>2 Piece, Standard Port, Dezincification Resistant Lead Free Brass, Crimp Pex Connection, Drain, 400 WOG</v>
      </c>
      <c r="E167" t="s">
        <v>3357</v>
      </c>
      <c r="F167" t="s">
        <v>3314</v>
      </c>
    </row>
    <row r="168" spans="1:6">
      <c r="A168" t="s">
        <v>3213</v>
      </c>
      <c r="B168" t="s">
        <v>3215</v>
      </c>
      <c r="C168" t="s">
        <v>694</v>
      </c>
      <c r="D168" t="str">
        <f>IFERROR(VLOOKUP(C168,Sheet2!B:F,5,FALSE),"")</f>
        <v>2 Piece, Full Port, Dezincification Resistant Lead Free Brass, CPVC Connection, 150 WOG</v>
      </c>
      <c r="E168" t="s">
        <v>3358</v>
      </c>
      <c r="F168" t="s">
        <v>3315</v>
      </c>
    </row>
    <row r="169" spans="1:6">
      <c r="A169" t="s">
        <v>3213</v>
      </c>
      <c r="B169" t="s">
        <v>3215</v>
      </c>
      <c r="C169" t="s">
        <v>698</v>
      </c>
      <c r="D169" t="str">
        <f>IFERROR(VLOOKUP(C169,Sheet2!B:F,5,FALSE),"")</f>
        <v>2 Piece, Full Port, Dezincification Resistant Lead Free Brass, CPVC Connection, Drain, 150 WOG</v>
      </c>
      <c r="E169" t="s">
        <v>3359</v>
      </c>
      <c r="F169" t="s">
        <v>3348</v>
      </c>
    </row>
    <row r="170" spans="1:6">
      <c r="A170" t="s">
        <v>3213</v>
      </c>
      <c r="B170" t="s">
        <v>3215</v>
      </c>
      <c r="C170" t="s">
        <v>628</v>
      </c>
      <c r="D170" t="str">
        <f>IFERROR(VLOOKUP(C170,Sheet2!B:F,5,FALSE),"")</f>
        <v>2 Piece, Full Port, Dezincification Resistant Lead Free Brass, MNPT x FNPT Connection, Stainless Steel Ball &amp; Stem, 600 WOG</v>
      </c>
      <c r="E170" t="s">
        <v>3360</v>
      </c>
      <c r="F170" t="s">
        <v>3316</v>
      </c>
    </row>
    <row r="171" spans="1:6">
      <c r="A171" t="s">
        <v>3213</v>
      </c>
      <c r="B171" t="s">
        <v>3215</v>
      </c>
      <c r="C171" t="s">
        <v>3223</v>
      </c>
      <c r="D171" t="str">
        <f>IFERROR(VLOOKUP(C171,Sheet2!B:F,5,FALSE),"")</f>
        <v>2 Piece, Full Port, Dezincification Resistant Lead Free Brass, FNPT x Solder Connection, 600 WOG</v>
      </c>
      <c r="E171" t="s">
        <v>3369</v>
      </c>
      <c r="F171" t="s">
        <v>3361</v>
      </c>
    </row>
    <row r="172" spans="1:6">
      <c r="A172" t="s">
        <v>3213</v>
      </c>
      <c r="B172" t="s">
        <v>3215</v>
      </c>
      <c r="C172" t="s">
        <v>3224</v>
      </c>
      <c r="D172" t="s">
        <v>3225</v>
      </c>
      <c r="E172" t="s">
        <v>3370</v>
      </c>
      <c r="F172" t="s">
        <v>3362</v>
      </c>
    </row>
    <row r="173" spans="1:6">
      <c r="A173" t="s">
        <v>3213</v>
      </c>
      <c r="B173" t="s">
        <v>3215</v>
      </c>
      <c r="C173" t="s">
        <v>643</v>
      </c>
      <c r="D173" t="str">
        <f>IFERROR(VLOOKUP(C173,Sheet2!B:F,5,FALSE),"")</f>
        <v>2 Piece, Full Port, Mini Ball Valve, Dezincification Resistant Lead Free Brass, Threaded Connection, Stainless Steel Ball &amp; Stem, 600 WOG</v>
      </c>
      <c r="E173" t="s">
        <v>3371</v>
      </c>
      <c r="F173" t="s">
        <v>3363</v>
      </c>
    </row>
    <row r="174" spans="1:6">
      <c r="A174" t="s">
        <v>3213</v>
      </c>
      <c r="B174" t="s">
        <v>3215</v>
      </c>
      <c r="C174" t="s">
        <v>690</v>
      </c>
      <c r="D174" t="str">
        <f>IFERROR(VLOOKUP(C174,Sheet2!B:F,5,FALSE),"")</f>
        <v>2 Piece, Full Port, Dezincification Resistant Lead Free Brass, Push-Fit Connection, 200 WOG</v>
      </c>
      <c r="E174" t="s">
        <v>3364</v>
      </c>
      <c r="F174" t="s">
        <v>3365</v>
      </c>
    </row>
    <row r="175" spans="1:6">
      <c r="A175" t="s">
        <v>3213</v>
      </c>
      <c r="B175" t="s">
        <v>3215</v>
      </c>
      <c r="C175" t="s">
        <v>664</v>
      </c>
      <c r="D175" t="str">
        <f>IFERROR(VLOOKUP(C175,Sheet2!B:F,5,FALSE),"")</f>
        <v>2 Piece, Full Port, Dezincification Resistant Lead Free Brass, FNPT x 3/4" Hose Connection, Cap &amp; Chain, Stainless Steel Ball &amp; Stem, 600 WOG</v>
      </c>
      <c r="E175" t="s">
        <v>3372</v>
      </c>
      <c r="F175" t="s">
        <v>3366</v>
      </c>
    </row>
    <row r="176" spans="1:6">
      <c r="A176" t="s">
        <v>3213</v>
      </c>
      <c r="B176" t="s">
        <v>3215</v>
      </c>
      <c r="C176" t="s">
        <v>669</v>
      </c>
      <c r="D176" t="str">
        <f>IFERROR(VLOOKUP(C176,Sheet2!B:F,5,FALSE),"")</f>
        <v>2 Piece, Full Port, Dezincification Resistant Lead Free Brass, Solder x 3/4" Hose Connection, Cap &amp; Chain, Stainless Steel Ball &amp; Stem, 600 WOG</v>
      </c>
      <c r="E176" t="s">
        <v>3373</v>
      </c>
      <c r="F176" t="s">
        <v>3367</v>
      </c>
    </row>
    <row r="177" spans="1:6">
      <c r="A177" t="s">
        <v>3213</v>
      </c>
      <c r="B177" t="s">
        <v>3215</v>
      </c>
      <c r="C177" t="s">
        <v>672</v>
      </c>
      <c r="D177" t="str">
        <f>IFERROR(VLOOKUP(C177,Sheet2!B:F,5,FALSE),"")</f>
        <v>2 Piece, Full Port, Dezincification Resistant Lead Free Brass, Press x 3/4" Hose Connection, Cap &amp; Chain, Stainless Steel Ball &amp; Stem, 600 WOG</v>
      </c>
      <c r="E177" t="s">
        <v>3374</v>
      </c>
      <c r="F177" t="s">
        <v>3368</v>
      </c>
    </row>
    <row r="178" spans="1:6">
      <c r="A178" t="s">
        <v>3213</v>
      </c>
      <c r="B178" t="s">
        <v>3243</v>
      </c>
      <c r="C178" t="s">
        <v>979</v>
      </c>
      <c r="D178" t="str">
        <f>IFERROR(VLOOKUP(C178,Sheet2!B:F,5,FALSE),"")</f>
        <v>2 Piece, Full Port, Threaded Connection, Bronze, Stainless Steel Ball &amp; Stem, 600 WOG</v>
      </c>
      <c r="E178" t="s">
        <v>3389</v>
      </c>
      <c r="F178" t="s">
        <v>3379</v>
      </c>
    </row>
    <row r="179" spans="1:6">
      <c r="A179" t="s">
        <v>3213</v>
      </c>
      <c r="B179" t="s">
        <v>3243</v>
      </c>
      <c r="C179" t="s">
        <v>995</v>
      </c>
      <c r="D179" t="str">
        <f>IFERROR(VLOOKUP(C179,Sheet2!B:F,5,FALSE),"")</f>
        <v>2 Piece, Full Port, Threaded Connection, Bronze, Stainless Steel Ball &amp; Stem, Latch Lock Handle, 600 WOG</v>
      </c>
      <c r="E179" t="s">
        <v>3390</v>
      </c>
      <c r="F179" t="s">
        <v>3380</v>
      </c>
    </row>
    <row r="180" spans="1:6">
      <c r="A180" t="s">
        <v>3213</v>
      </c>
      <c r="B180" t="s">
        <v>3243</v>
      </c>
      <c r="C180" t="s">
        <v>1011</v>
      </c>
      <c r="D180" t="str">
        <f>IFERROR(VLOOKUP(C180,Sheet2!B:F,5,FALSE),"")</f>
        <v>2 Piece, Full Port, Threaded Connection, Bronze, Stainless Steel Ball &amp; Stem, Thermal-Block Insulated Handle, 600 WOG</v>
      </c>
      <c r="E180" t="s">
        <v>3391</v>
      </c>
      <c r="F180" t="s">
        <v>3381</v>
      </c>
    </row>
    <row r="181" spans="1:6">
      <c r="A181" t="s">
        <v>3213</v>
      </c>
      <c r="B181" t="s">
        <v>3243</v>
      </c>
      <c r="C181" t="s">
        <v>1025</v>
      </c>
      <c r="D181" t="str">
        <f>IFERROR(VLOOKUP(C181,Sheet2!B:F,5,FALSE),"")</f>
        <v>2 Piece, Full Port, Threaded Connection, Bronze, Stainless Steel Ball &amp; Stem, Stem Extension, 600 WOG</v>
      </c>
      <c r="E181" t="s">
        <v>3392</v>
      </c>
      <c r="F181" t="s">
        <v>3382</v>
      </c>
    </row>
    <row r="182" spans="1:6">
      <c r="A182" t="s">
        <v>3213</v>
      </c>
      <c r="B182" t="s">
        <v>3243</v>
      </c>
      <c r="C182" t="s">
        <v>988</v>
      </c>
      <c r="D182" t="str">
        <f>IFERROR(VLOOKUP(C182,Sheet2!B:F,5,FALSE),"")</f>
        <v>2 Piece, Full Port, Solder Connection, Bronze, Stainless Steel Ball &amp; Stem, 600 WOG</v>
      </c>
      <c r="E182" t="s">
        <v>3393</v>
      </c>
      <c r="F182" t="s">
        <v>3383</v>
      </c>
    </row>
    <row r="183" spans="1:6">
      <c r="A183" t="s">
        <v>3213</v>
      </c>
      <c r="B183" t="s">
        <v>3243</v>
      </c>
      <c r="C183" t="s">
        <v>1004</v>
      </c>
      <c r="D183" t="str">
        <f>IFERROR(VLOOKUP(C183,Sheet2!B:F,5,FALSE),"")</f>
        <v>2 Piece, Full Port, Solder Connection, Bronze, Stainless Steel Ball &amp; Stem, Latch Lock Handle, 600 WOG</v>
      </c>
      <c r="E183" t="s">
        <v>3394</v>
      </c>
      <c r="F183" t="s">
        <v>3384</v>
      </c>
    </row>
    <row r="184" spans="1:6">
      <c r="A184" t="s">
        <v>3213</v>
      </c>
      <c r="B184" t="s">
        <v>3243</v>
      </c>
      <c r="C184" t="s">
        <v>1017</v>
      </c>
      <c r="D184" t="str">
        <f>IFERROR(VLOOKUP(C184,Sheet2!B:F,5,FALSE),"")</f>
        <v>2 Piece, Full Port, Threaded Connection, Bronze, Stainless Steel Ball &amp; Stem, Thermal-Block Insulated Handle, 600 WOG</v>
      </c>
      <c r="E184" t="s">
        <v>3395</v>
      </c>
      <c r="F184" t="s">
        <v>3385</v>
      </c>
    </row>
    <row r="185" spans="1:6">
      <c r="A185" t="s">
        <v>3213</v>
      </c>
      <c r="B185" t="s">
        <v>3243</v>
      </c>
      <c r="C185" t="s">
        <v>1034</v>
      </c>
      <c r="D185" t="str">
        <f>IFERROR(VLOOKUP(C185,Sheet2!B:F,5,FALSE),"")</f>
        <v>2 Piece, Full Port, Solder Connection, Bronze, Stainless Steel Ball &amp; Stem, Stem Extension, 600 WOG</v>
      </c>
      <c r="E185" t="s">
        <v>3396</v>
      </c>
      <c r="F185" t="s">
        <v>3386</v>
      </c>
    </row>
    <row r="186" spans="1:6">
      <c r="A186" t="s">
        <v>3213</v>
      </c>
      <c r="B186" t="s">
        <v>3243</v>
      </c>
      <c r="C186" t="s">
        <v>3375</v>
      </c>
      <c r="D186" t="s">
        <v>3377</v>
      </c>
      <c r="E186" t="s">
        <v>3397</v>
      </c>
      <c r="F186" t="s">
        <v>3387</v>
      </c>
    </row>
    <row r="187" spans="1:6">
      <c r="A187" t="s">
        <v>3213</v>
      </c>
      <c r="B187" t="s">
        <v>3243</v>
      </c>
      <c r="C187" t="s">
        <v>3376</v>
      </c>
      <c r="D187" t="s">
        <v>3378</v>
      </c>
      <c r="E187" t="s">
        <v>3398</v>
      </c>
      <c r="F187" t="s">
        <v>3388</v>
      </c>
    </row>
    <row r="188" spans="1:6">
      <c r="A188" t="s">
        <v>3213</v>
      </c>
      <c r="B188" t="s">
        <v>3407</v>
      </c>
      <c r="C188" t="s">
        <v>1071</v>
      </c>
      <c r="D188" t="str">
        <f>IFERROR(VLOOKUP(C188,Sheet2!B:F,5,FALSE),"")</f>
        <v>2 Piece, Full Port, Brass, Threaded Connection, 600 WOG</v>
      </c>
      <c r="E188" t="s">
        <v>3423</v>
      </c>
      <c r="F188" t="s">
        <v>3411</v>
      </c>
    </row>
    <row r="189" spans="1:6">
      <c r="A189" t="s">
        <v>3213</v>
      </c>
      <c r="B189" t="s">
        <v>3407</v>
      </c>
      <c r="C189" t="s">
        <v>1093</v>
      </c>
      <c r="D189" t="str">
        <f>IFERROR(VLOOKUP(C189,Sheet2!B:F,5,FALSE),"")</f>
        <v>2 Piece, Full Port, Brass, Threaded Connection, Stainless Steel Latch Lock Handle, 600 WOG</v>
      </c>
      <c r="E189" t="s">
        <v>3424</v>
      </c>
      <c r="F189" t="s">
        <v>3412</v>
      </c>
    </row>
    <row r="190" spans="1:6">
      <c r="A190" t="s">
        <v>3213</v>
      </c>
      <c r="B190" t="s">
        <v>3407</v>
      </c>
      <c r="C190" t="s">
        <v>1102</v>
      </c>
      <c r="D190" t="str">
        <f>IFERROR(VLOOKUP(C190,Sheet2!B:F,5,FALSE),"")</f>
        <v>2 Piece, Full Port, Brass, Threaded Connection, Thermal-Block Insulated Handle, 600 WOG</v>
      </c>
      <c r="E190" t="s">
        <v>3425</v>
      </c>
      <c r="F190" t="s">
        <v>3413</v>
      </c>
    </row>
    <row r="191" spans="1:6">
      <c r="A191" t="s">
        <v>3213</v>
      </c>
      <c r="B191" t="s">
        <v>3407</v>
      </c>
      <c r="C191" t="s">
        <v>1084</v>
      </c>
      <c r="D191" t="str">
        <f>IFERROR(VLOOKUP(C191,Sheet2!B:F,5,FALSE),"")</f>
        <v>2 Piece, Full Port, Brass, Solder Connection, 600 WOG</v>
      </c>
      <c r="E191" t="s">
        <v>3426</v>
      </c>
      <c r="F191" t="s">
        <v>3414</v>
      </c>
    </row>
    <row r="192" spans="1:6">
      <c r="A192" t="s">
        <v>3213</v>
      </c>
      <c r="B192" t="s">
        <v>3407</v>
      </c>
      <c r="C192" t="s">
        <v>3408</v>
      </c>
      <c r="D192" t="str">
        <f>IFERROR(VLOOKUP(C192,Sheet2!B:F,5,FALSE),"")</f>
        <v>2 Piece, Full Port, TEA Coated Brass, Threaded Connection, Stainless Steel Ball &amp; Stem, 600 WOG</v>
      </c>
      <c r="E192" t="s">
        <v>3427</v>
      </c>
      <c r="F192" t="s">
        <v>3415</v>
      </c>
    </row>
    <row r="193" spans="1:6">
      <c r="A193" t="s">
        <v>3213</v>
      </c>
      <c r="B193" t="s">
        <v>3407</v>
      </c>
      <c r="C193" t="s">
        <v>1153</v>
      </c>
      <c r="D193" t="str">
        <f>IFERROR(VLOOKUP(C193,Sheet2!B:F,5,FALSE),"")</f>
        <v>2 Piece, Full Port, Brass, Threaded Connection, Steam Trim, 600 WOG</v>
      </c>
      <c r="E193" t="s">
        <v>3428</v>
      </c>
      <c r="F193" t="s">
        <v>3416</v>
      </c>
    </row>
    <row r="194" spans="1:6">
      <c r="A194" t="s">
        <v>3213</v>
      </c>
      <c r="B194" t="s">
        <v>3407</v>
      </c>
      <c r="C194" t="s">
        <v>1174</v>
      </c>
      <c r="D194" t="str">
        <f>IFERROR(VLOOKUP(C194,Sheet2!B:F,5,FALSE),"")</f>
        <v>2 Piece, Full Port, Brass, MNPT x FNPT Connection, 600 WOG</v>
      </c>
      <c r="E194" t="s">
        <v>3429</v>
      </c>
      <c r="F194" t="s">
        <v>3417</v>
      </c>
    </row>
    <row r="195" spans="1:6">
      <c r="A195" t="s">
        <v>3213</v>
      </c>
      <c r="B195" t="s">
        <v>3407</v>
      </c>
      <c r="C195" t="s">
        <v>1146</v>
      </c>
      <c r="D195" t="str">
        <f>IFERROR(VLOOKUP(C195,Sheet2!B:F,5,FALSE),"")</f>
        <v>3 Piece, Full Port, Brass, Threaded Connection, Single Union End, Side Tap, 600 WOG</v>
      </c>
      <c r="E195" t="s">
        <v>3430</v>
      </c>
      <c r="F195" t="s">
        <v>3418</v>
      </c>
    </row>
    <row r="196" spans="1:6">
      <c r="A196" t="s">
        <v>3213</v>
      </c>
      <c r="B196" t="s">
        <v>3407</v>
      </c>
      <c r="C196" t="s">
        <v>1139</v>
      </c>
      <c r="D196" t="str">
        <f>IFERROR(VLOOKUP(C196,Sheet2!B:F,5,FALSE),"")</f>
        <v>2 Piece, Full Port, Brass, Threaded Connection, Side Tap, 600 WOG</v>
      </c>
      <c r="E196" t="s">
        <v>3431</v>
      </c>
      <c r="F196" t="s">
        <v>3419</v>
      </c>
    </row>
    <row r="197" spans="1:6">
      <c r="A197" t="s">
        <v>3213</v>
      </c>
      <c r="B197" t="s">
        <v>3407</v>
      </c>
      <c r="C197" t="s">
        <v>1128</v>
      </c>
      <c r="D197" t="str">
        <f>IFERROR(VLOOKUP(C197,Sheet2!B:F,5,FALSE),"")</f>
        <v>2 Piece, Full Port, Brass, Press Connection, 250 WOG</v>
      </c>
      <c r="E197" t="s">
        <v>3432</v>
      </c>
      <c r="F197" t="s">
        <v>3420</v>
      </c>
    </row>
    <row r="198" spans="1:6">
      <c r="A198" t="s">
        <v>3213</v>
      </c>
      <c r="B198" t="s">
        <v>3407</v>
      </c>
      <c r="C198" t="s">
        <v>1135</v>
      </c>
      <c r="D198" t="str">
        <f>IFERROR(VLOOKUP(C198,Sheet2!B:F,5,FALSE),"")</f>
        <v>2 Piece, Full Port, Brass, Press XLC Connection, 200 WOG</v>
      </c>
      <c r="E198" t="s">
        <v>3433</v>
      </c>
      <c r="F198" t="s">
        <v>3421</v>
      </c>
    </row>
    <row r="199" spans="1:6">
      <c r="A199" t="s">
        <v>3213</v>
      </c>
      <c r="B199" t="s">
        <v>3407</v>
      </c>
      <c r="C199" t="s">
        <v>1160</v>
      </c>
      <c r="D199" t="str">
        <f>IFERROR(VLOOKUP(C199,Sheet2!B:F,5,FALSE),"")</f>
        <v>2 Piece, Full Port, Brass, Solder Connection, Double Union End, 400 WOG</v>
      </c>
      <c r="E199" t="s">
        <v>3434</v>
      </c>
      <c r="F199" t="s">
        <v>3422</v>
      </c>
    </row>
    <row r="200" spans="1:6">
      <c r="A200" t="s">
        <v>3213</v>
      </c>
      <c r="B200" t="s">
        <v>3407</v>
      </c>
      <c r="C200" t="s">
        <v>1180</v>
      </c>
      <c r="D200" t="str">
        <f>IFERROR(VLOOKUP(C200,Sheet2!B:F,5,FALSE),"")</f>
        <v>2 Piece, Full Port, Mini Ball Valve, Brass, Threaded Connection, 600 WOG</v>
      </c>
      <c r="E200" t="s">
        <v>3438</v>
      </c>
      <c r="F200" t="s">
        <v>3435</v>
      </c>
    </row>
    <row r="201" spans="1:6">
      <c r="A201" t="s">
        <v>3213</v>
      </c>
      <c r="B201" t="s">
        <v>3407</v>
      </c>
      <c r="C201" t="s">
        <v>1192</v>
      </c>
      <c r="D201" t="str">
        <f>IFERROR(VLOOKUP(C201,Sheet2!B:F,5,FALSE),"")</f>
        <v>1 Piece, Standard Port, Mini Ball Valve, Brass, Threaded Connection, 450 WOG</v>
      </c>
      <c r="E201" t="s">
        <v>3436</v>
      </c>
      <c r="F201" t="s">
        <v>3439</v>
      </c>
    </row>
    <row r="202" spans="1:6">
      <c r="A202" t="s">
        <v>3213</v>
      </c>
      <c r="B202" t="s">
        <v>3407</v>
      </c>
      <c r="C202" t="s">
        <v>1268</v>
      </c>
      <c r="D202" t="str">
        <f>IFERROR(VLOOKUP(C202,Sheet2!B:F,5,FALSE),"")</f>
        <v>2 Piece, Full Port, Mini Ball Valve, Brass, Threaded Connection, 600 WOG</v>
      </c>
      <c r="E202" t="s">
        <v>3437</v>
      </c>
      <c r="F202" t="s">
        <v>3440</v>
      </c>
    </row>
    <row r="203" spans="1:6">
      <c r="A203" t="s">
        <v>3213</v>
      </c>
      <c r="B203" t="s">
        <v>3407</v>
      </c>
      <c r="C203" t="s">
        <v>1278</v>
      </c>
      <c r="D203" t="str">
        <f>IFERROR(VLOOKUP(C203,Sheet2!B:F,5,FALSE),"")</f>
        <v>2 Piece, Full Port, Brass, MNPT x Push-Fit Connection, 200 WOG</v>
      </c>
      <c r="E203" t="s">
        <v>3442</v>
      </c>
      <c r="F203" t="s">
        <v>3441</v>
      </c>
    </row>
    <row r="204" spans="1:6">
      <c r="A204" t="s">
        <v>3213</v>
      </c>
      <c r="B204" t="s">
        <v>3407</v>
      </c>
      <c r="C204" t="s">
        <v>1287</v>
      </c>
      <c r="D204" t="str">
        <f>IFERROR(VLOOKUP(C204,Sheet2!B:F,5,FALSE),"")</f>
        <v>2 Piece, Full Port, Brass, Push-Fit Connection, 200 WOG</v>
      </c>
      <c r="E204" t="s">
        <v>3444</v>
      </c>
      <c r="F204" t="s">
        <v>3443</v>
      </c>
    </row>
    <row r="205" spans="1:6">
      <c r="A205" t="s">
        <v>3213</v>
      </c>
      <c r="B205" t="s">
        <v>3407</v>
      </c>
      <c r="C205" t="s">
        <v>1206</v>
      </c>
      <c r="D205" t="str">
        <f>IFERROR(VLOOKUP(C205,Sheet2!B:F,5,FALSE),"")</f>
        <v xml:space="preserve">2 Piece, Full Port, Brass, Threaded Connection, 600 WOG </v>
      </c>
      <c r="E205" t="s">
        <v>3446</v>
      </c>
      <c r="F205" t="s">
        <v>3445</v>
      </c>
    </row>
    <row r="206" spans="1:6">
      <c r="A206" t="s">
        <v>3213</v>
      </c>
      <c r="B206" t="s">
        <v>3407</v>
      </c>
      <c r="C206" t="s">
        <v>1234</v>
      </c>
      <c r="D206" t="str">
        <f>IFERROR(VLOOKUP(C206,Sheet2!B:F,5,FALSE),"")</f>
        <v>2 Piece, Full Port, Brass, Threaded Connection, Latch Lock Handle, 600 WOG</v>
      </c>
      <c r="E206" t="s">
        <v>3448</v>
      </c>
      <c r="F206" t="s">
        <v>3447</v>
      </c>
    </row>
    <row r="207" spans="1:6">
      <c r="A207" t="s">
        <v>3213</v>
      </c>
      <c r="B207" t="s">
        <v>3407</v>
      </c>
      <c r="C207" t="s">
        <v>1224</v>
      </c>
      <c r="D207" t="str">
        <f>IFERROR(VLOOKUP(C207,Sheet2!B:F,5,FALSE),"")</f>
        <v>2 Piece, Full Port, Brass, Solder Connection, 600 WOG</v>
      </c>
      <c r="E207" t="s">
        <v>3450</v>
      </c>
      <c r="F207" t="s">
        <v>3449</v>
      </c>
    </row>
    <row r="208" spans="1:6">
      <c r="A208" t="s">
        <v>3213</v>
      </c>
      <c r="B208" t="s">
        <v>3407</v>
      </c>
      <c r="C208" t="s">
        <v>1246</v>
      </c>
      <c r="D208" t="str">
        <f>IFERROR(VLOOKUP(C208,Sheet2!B:F,5,FALSE),"")</f>
        <v>2 Piece, Full Port, Brass, Solder Connection, Latch Lock Handle, 600 WOG</v>
      </c>
      <c r="E208" t="s">
        <v>3452</v>
      </c>
      <c r="F208" t="s">
        <v>3451</v>
      </c>
    </row>
    <row r="209" spans="1:6">
      <c r="A209" t="s">
        <v>3213</v>
      </c>
      <c r="B209" t="s">
        <v>3407</v>
      </c>
      <c r="C209" t="s">
        <v>1256</v>
      </c>
      <c r="D209" t="str">
        <f>IFERROR(VLOOKUP(C209,Sheet2!B:F,5,FALSE),"")</f>
        <v>2 Piece, Full Port, Brass, MNPT x FNPT Connection, 600 WOG</v>
      </c>
      <c r="E209" t="s">
        <v>3454</v>
      </c>
      <c r="F209" t="s">
        <v>3453</v>
      </c>
    </row>
    <row r="210" spans="1:6">
      <c r="A210" t="s">
        <v>3213</v>
      </c>
      <c r="B210" t="s">
        <v>3407</v>
      </c>
      <c r="C210" t="s">
        <v>3409</v>
      </c>
      <c r="D210" t="s">
        <v>3410</v>
      </c>
      <c r="E210" t="s">
        <v>3456</v>
      </c>
      <c r="F210" t="s">
        <v>3455</v>
      </c>
    </row>
    <row r="211" spans="1:6">
      <c r="A211" t="s">
        <v>3213</v>
      </c>
      <c r="B211" t="s">
        <v>3399</v>
      </c>
      <c r="C211" t="s">
        <v>1349</v>
      </c>
      <c r="D211" t="str">
        <f>IFERROR(VLOOKUP(C211,Sheet2!B:F,5,FALSE),"")</f>
        <v>3 Piece, 4 Bolt, Brass, Oxygen Cleaned for Medical Gas, Copper Stub Connection, 600 WOG</v>
      </c>
      <c r="E211" t="s">
        <v>3404</v>
      </c>
      <c r="F211" t="s">
        <v>3401</v>
      </c>
    </row>
    <row r="212" spans="1:6">
      <c r="A212" t="s">
        <v>3213</v>
      </c>
      <c r="B212" t="s">
        <v>3399</v>
      </c>
      <c r="C212" t="s">
        <v>1359</v>
      </c>
      <c r="D212" t="str">
        <f>IFERROR(VLOOKUP(C212,Sheet2!B:F,5,FALSE),"")</f>
        <v>3 Piece, 4 Bolt, Brass, Oxygen Cleaned for Medical Gas, Copper Stub Connection, Double Gauge Port, 600 WOG</v>
      </c>
      <c r="E212" t="s">
        <v>3405</v>
      </c>
      <c r="F212" t="s">
        <v>3402</v>
      </c>
    </row>
    <row r="213" spans="1:6">
      <c r="A213" t="s">
        <v>3213</v>
      </c>
      <c r="B213" t="s">
        <v>3399</v>
      </c>
      <c r="C213" t="s">
        <v>3400</v>
      </c>
      <c r="D213" t="str">
        <f>IFERROR(VLOOKUP(C213,Sheet2!B:F,5,FALSE),"")</f>
        <v>3 Piece, 4 Bolt, Brass, Oxygen Cleaned for Medical Gas, Copper Stub Connection, Double Gauge Port, Stainless Steel Ball &amp; Stem, 600 WOG</v>
      </c>
      <c r="E213" t="s">
        <v>3406</v>
      </c>
      <c r="F213" t="s">
        <v>3403</v>
      </c>
    </row>
    <row r="214" spans="1:6">
      <c r="A214" t="s">
        <v>3213</v>
      </c>
      <c r="B214" t="s">
        <v>3459</v>
      </c>
      <c r="C214" t="s">
        <v>3469</v>
      </c>
      <c r="D214" t="s">
        <v>3494</v>
      </c>
      <c r="E214" t="s">
        <v>3472</v>
      </c>
      <c r="F214" t="s">
        <v>3476</v>
      </c>
    </row>
    <row r="215" spans="1:6">
      <c r="A215" t="s">
        <v>3213</v>
      </c>
      <c r="B215" t="s">
        <v>3459</v>
      </c>
      <c r="C215" t="s">
        <v>3468</v>
      </c>
      <c r="D215" t="s">
        <v>3495</v>
      </c>
      <c r="E215" t="s">
        <v>3473</v>
      </c>
      <c r="F215" t="s">
        <v>3477</v>
      </c>
    </row>
    <row r="216" spans="1:6">
      <c r="A216" t="s">
        <v>3213</v>
      </c>
      <c r="B216" t="s">
        <v>3459</v>
      </c>
      <c r="C216" t="s">
        <v>3467</v>
      </c>
      <c r="D216" t="s">
        <v>3471</v>
      </c>
      <c r="E216" t="s">
        <v>3474</v>
      </c>
      <c r="F216" t="s">
        <v>3478</v>
      </c>
    </row>
    <row r="217" spans="1:6">
      <c r="A217" t="s">
        <v>3213</v>
      </c>
      <c r="B217" t="s">
        <v>3459</v>
      </c>
      <c r="C217" t="s">
        <v>3470</v>
      </c>
      <c r="D217" t="s">
        <v>3496</v>
      </c>
      <c r="E217" t="s">
        <v>3475</v>
      </c>
      <c r="F217" t="s">
        <v>3460</v>
      </c>
    </row>
    <row r="218" spans="1:6">
      <c r="A218" t="s">
        <v>3213</v>
      </c>
      <c r="B218" t="s">
        <v>3459</v>
      </c>
      <c r="C218" t="s">
        <v>3479</v>
      </c>
      <c r="D218" t="s">
        <v>3492</v>
      </c>
      <c r="E218" t="s">
        <v>3487</v>
      </c>
      <c r="F218" t="s">
        <v>3483</v>
      </c>
    </row>
    <row r="219" spans="1:6">
      <c r="A219" t="s">
        <v>3213</v>
      </c>
      <c r="B219" t="s">
        <v>3459</v>
      </c>
      <c r="C219" t="s">
        <v>3480</v>
      </c>
      <c r="D219" t="s">
        <v>3493</v>
      </c>
      <c r="E219" t="s">
        <v>3486</v>
      </c>
      <c r="F219" t="s">
        <v>3484</v>
      </c>
    </row>
    <row r="220" spans="1:6">
      <c r="A220" t="s">
        <v>3213</v>
      </c>
      <c r="B220" t="s">
        <v>3459</v>
      </c>
      <c r="C220" t="s">
        <v>3481</v>
      </c>
      <c r="D220" t="s">
        <v>3491</v>
      </c>
      <c r="E220" t="s">
        <v>3489</v>
      </c>
      <c r="F220" t="s">
        <v>3485</v>
      </c>
    </row>
    <row r="221" spans="1:6">
      <c r="A221" t="s">
        <v>3213</v>
      </c>
      <c r="B221" t="s">
        <v>3459</v>
      </c>
      <c r="C221" t="s">
        <v>3482</v>
      </c>
      <c r="D221" t="s">
        <v>3490</v>
      </c>
      <c r="E221" t="s">
        <v>3488</v>
      </c>
      <c r="F221" t="s">
        <v>3461</v>
      </c>
    </row>
    <row r="222" spans="1:6">
      <c r="A222" t="s">
        <v>3213</v>
      </c>
      <c r="B222" t="s">
        <v>3459</v>
      </c>
      <c r="C222" t="s">
        <v>3497</v>
      </c>
      <c r="D222" t="s">
        <v>3500</v>
      </c>
      <c r="E222" t="s">
        <v>3504</v>
      </c>
      <c r="F222" t="s">
        <v>3462</v>
      </c>
    </row>
    <row r="223" spans="1:6">
      <c r="A223" t="s">
        <v>3213</v>
      </c>
      <c r="B223" t="s">
        <v>3459</v>
      </c>
      <c r="C223" t="s">
        <v>3498</v>
      </c>
      <c r="D223" t="s">
        <v>3501</v>
      </c>
      <c r="E223" t="s">
        <v>3505</v>
      </c>
      <c r="F223" t="s">
        <v>3503</v>
      </c>
    </row>
    <row r="224" spans="1:6">
      <c r="A224" t="s">
        <v>3213</v>
      </c>
      <c r="B224" t="s">
        <v>3459</v>
      </c>
      <c r="C224" t="s">
        <v>3499</v>
      </c>
      <c r="D224" t="s">
        <v>3502</v>
      </c>
      <c r="E224" t="s">
        <v>3506</v>
      </c>
      <c r="F224" t="s">
        <v>3462</v>
      </c>
    </row>
    <row r="225" spans="1:6">
      <c r="A225" t="s">
        <v>3213</v>
      </c>
      <c r="B225" t="s">
        <v>3459</v>
      </c>
      <c r="C225" t="s">
        <v>3508</v>
      </c>
      <c r="D225" t="s">
        <v>3507</v>
      </c>
      <c r="E225" t="s">
        <v>3519</v>
      </c>
      <c r="F225" t="s">
        <v>3463</v>
      </c>
    </row>
    <row r="226" spans="1:6">
      <c r="A226" t="s">
        <v>3213</v>
      </c>
      <c r="B226" t="s">
        <v>3459</v>
      </c>
      <c r="C226" t="s">
        <v>3510</v>
      </c>
      <c r="D226" t="s">
        <v>3516</v>
      </c>
      <c r="E226" t="s">
        <v>3520</v>
      </c>
      <c r="F226" t="s">
        <v>3511</v>
      </c>
    </row>
    <row r="227" spans="1:6">
      <c r="A227" t="s">
        <v>3213</v>
      </c>
      <c r="B227" t="s">
        <v>3459</v>
      </c>
      <c r="C227" t="s">
        <v>3509</v>
      </c>
      <c r="D227" t="s">
        <v>3517</v>
      </c>
      <c r="E227" t="s">
        <v>3518</v>
      </c>
      <c r="F227" t="s">
        <v>3512</v>
      </c>
    </row>
    <row r="228" spans="1:6">
      <c r="A228" t="s">
        <v>3213</v>
      </c>
      <c r="B228" t="s">
        <v>3459</v>
      </c>
      <c r="C228" t="s">
        <v>3457</v>
      </c>
      <c r="D228" t="str">
        <f>IFERROR(VLOOKUP(C228,Sheet2!B:F,5,FALSE),"")</f>
        <v>2 Piece, Gas Ball Valve, T-Handle, 400 WOG</v>
      </c>
      <c r="E228" t="s">
        <v>3513</v>
      </c>
      <c r="F228" t="s">
        <v>3464</v>
      </c>
    </row>
    <row r="229" spans="1:6">
      <c r="A229" t="s">
        <v>3213</v>
      </c>
      <c r="B229" t="s">
        <v>3459</v>
      </c>
      <c r="C229" t="s">
        <v>3458</v>
      </c>
      <c r="D229" t="str">
        <f>IFERROR(VLOOKUP(C229,Sheet2!B:F,5,FALSE),"")</f>
        <v>2 Piece, Gas Ball Valve, Teardrop Handle, 175 WOG</v>
      </c>
      <c r="E229" t="s">
        <v>3514</v>
      </c>
      <c r="F229" t="s">
        <v>3465</v>
      </c>
    </row>
    <row r="230" spans="1:6">
      <c r="A230" t="s">
        <v>3213</v>
      </c>
      <c r="B230" t="s">
        <v>3459</v>
      </c>
      <c r="C230" t="s">
        <v>1468</v>
      </c>
      <c r="D230" t="str">
        <f>IFERROR(VLOOKUP(C230,Sheet2!B:F,5,FALSE),"")</f>
        <v>2 Piece, Gas Ball Valve, Yellow Teardrop Handle, 175 WOG</v>
      </c>
      <c r="E230" t="s">
        <v>3515</v>
      </c>
      <c r="F230" t="s">
        <v>3466</v>
      </c>
    </row>
    <row r="231" spans="1:6">
      <c r="A231" t="s">
        <v>3213</v>
      </c>
      <c r="B231" t="s">
        <v>3521</v>
      </c>
      <c r="C231" t="s">
        <v>1963</v>
      </c>
      <c r="D231" t="str">
        <f>IFERROR(VLOOKUP(C231,Sheet2!B:F,5,FALSE),"")</f>
        <v>2 Piece, Full Port, Carbon Steel, Threaded Connection, Stainless Steel Ball &amp; Stem, 1000 WOG</v>
      </c>
      <c r="E231" t="s">
        <v>3527</v>
      </c>
      <c r="F231" t="s">
        <v>3526</v>
      </c>
    </row>
    <row r="232" spans="1:6">
      <c r="A232" t="s">
        <v>3213</v>
      </c>
      <c r="B232" t="s">
        <v>3521</v>
      </c>
      <c r="C232" t="s">
        <v>1998</v>
      </c>
      <c r="D232" t="str">
        <f>IFERROR(VLOOKUP(C232,Sheet2!B:F,5,FALSE),"")</f>
        <v>2 Piece, Standard Port, Carbon Steel, Threaded Connection, Stainless Steel Ball &amp; Stem, 2000 WOG</v>
      </c>
      <c r="E232" t="s">
        <v>3529</v>
      </c>
      <c r="F232" t="s">
        <v>3528</v>
      </c>
    </row>
    <row r="233" spans="1:6">
      <c r="A233" t="s">
        <v>3213</v>
      </c>
      <c r="B233" t="s">
        <v>3521</v>
      </c>
      <c r="C233" t="s">
        <v>3522</v>
      </c>
      <c r="D233" t="str">
        <f>IFERROR(VLOOKUP(C233,Sheet2!B:F,5,FALSE),"")</f>
        <v>3 Piece, 4 Bolt, Full Port, Carbon Steel, Swing Out Body, Threaded Connection, Stainless Steel Ball &amp; Stem, 1000 WOG</v>
      </c>
      <c r="E233" t="s">
        <v>3531</v>
      </c>
      <c r="F233" t="s">
        <v>3530</v>
      </c>
    </row>
    <row r="234" spans="1:6">
      <c r="A234" t="s">
        <v>3213</v>
      </c>
      <c r="B234" t="s">
        <v>3521</v>
      </c>
      <c r="C234" t="s">
        <v>2051</v>
      </c>
      <c r="D234" t="str">
        <f>IFERROR(VLOOKUP(C234,Sheet2!B:F,5,FALSE),"")</f>
        <v>3 Piece, 4 Bolt, Full Port, Carbon Steel, Swing Out Body, Socket Weld Connection, Stainless Steel Ball &amp; Stem, 1000 WOG</v>
      </c>
      <c r="E234" t="s">
        <v>3533</v>
      </c>
      <c r="F234" t="s">
        <v>3532</v>
      </c>
    </row>
    <row r="235" spans="1:6">
      <c r="A235" t="s">
        <v>3213</v>
      </c>
      <c r="B235" t="s">
        <v>3521</v>
      </c>
      <c r="C235" t="s">
        <v>2082</v>
      </c>
      <c r="D235" t="str">
        <f>IFERROR(VLOOKUP(C235,Sheet2!B:F,5,FALSE),"")</f>
        <v>3 Piece, 4 Bolt Enclosed, Standard Port, Carbon Steel, Threaded Connection, Stainless Steel Ball &amp; Stem, 2000 WOG</v>
      </c>
      <c r="E235" t="s">
        <v>3535</v>
      </c>
      <c r="F235" t="s">
        <v>3534</v>
      </c>
    </row>
    <row r="236" spans="1:6">
      <c r="A236" t="s">
        <v>3213</v>
      </c>
      <c r="B236" t="s">
        <v>3521</v>
      </c>
      <c r="C236" t="s">
        <v>2089</v>
      </c>
      <c r="D236" t="str">
        <f>IFERROR(VLOOKUP(C236,Sheet2!B:F,5,FALSE),"")</f>
        <v>3 Piece, 4 Bolt Enclosed, Standard Port, Carbon Steel, Socket Weld Connection, Stainless Steel Ball &amp; Stem, 2000 WOG</v>
      </c>
      <c r="E236" t="s">
        <v>3537</v>
      </c>
      <c r="F236" t="s">
        <v>3536</v>
      </c>
    </row>
    <row r="237" spans="1:6">
      <c r="A237" t="s">
        <v>3213</v>
      </c>
      <c r="B237" t="s">
        <v>3521</v>
      </c>
      <c r="C237" t="s">
        <v>2110</v>
      </c>
      <c r="D237" t="str">
        <f>IFERROR(VLOOKUP(C237,Sheet2!B:F,5,FALSE),"")</f>
        <v>5 Piece, Double Union End, Full Port, Carbon Steel, Threaded Connection, Stainless Steel Ball &amp; Stem, 3000 WOG</v>
      </c>
      <c r="E237" t="s">
        <v>3539</v>
      </c>
      <c r="F237" t="s">
        <v>3538</v>
      </c>
    </row>
    <row r="238" spans="1:6">
      <c r="A238" t="s">
        <v>3213</v>
      </c>
      <c r="B238" t="s">
        <v>3521</v>
      </c>
      <c r="C238" t="s">
        <v>2119</v>
      </c>
      <c r="D238" t="str">
        <f>IFERROR(VLOOKUP(C238,Sheet2!B:F,5,FALSE),"")</f>
        <v>5 Piece, Double Union End, Full Port, Carbon Steel, Socket Weld Connection, Stainless Steel Ball &amp; Stem, 3000 WOG</v>
      </c>
      <c r="E238" t="s">
        <v>3541</v>
      </c>
      <c r="F238" t="s">
        <v>3540</v>
      </c>
    </row>
    <row r="239" spans="1:6">
      <c r="A239" t="s">
        <v>3213</v>
      </c>
      <c r="B239" t="s">
        <v>3552</v>
      </c>
      <c r="C239" t="s">
        <v>1952</v>
      </c>
      <c r="D239" t="str">
        <f>IFERROR(VLOOKUP(C239,Sheet2!B:F,5,FALSE),"")</f>
        <v>2 Piece, Full Port, Stainless Steel, Threaded Connection, Stainless Steel Ball &amp; Stem, 1000 WOG</v>
      </c>
      <c r="E239" t="s">
        <v>3554</v>
      </c>
      <c r="F239" t="s">
        <v>3553</v>
      </c>
    </row>
    <row r="240" spans="1:6">
      <c r="A240" t="s">
        <v>3213</v>
      </c>
      <c r="B240" t="s">
        <v>3552</v>
      </c>
      <c r="C240" t="s">
        <v>1972</v>
      </c>
      <c r="D240" t="str">
        <f>IFERROR(VLOOKUP(C240,Sheet2!B:F,5,FALSE),"")</f>
        <v>2 Piece, Standard Port, Stainless Steel, Threaded Connection, Stainless Steel Ball &amp; Stem, 2000 WOG</v>
      </c>
      <c r="E240" t="s">
        <v>3556</v>
      </c>
      <c r="F240" t="s">
        <v>3555</v>
      </c>
    </row>
    <row r="241" spans="1:6">
      <c r="A241" t="s">
        <v>3213</v>
      </c>
      <c r="B241" t="s">
        <v>3552</v>
      </c>
      <c r="C241" t="s">
        <v>1981</v>
      </c>
      <c r="D241" t="str">
        <f>IFERROR(VLOOKUP(C241,Sheet2!B:F,5,FALSE),"")</f>
        <v>2 Piece, Full Port, Stainless Steel, Threaded Connection, Stainless Steel Ball &amp; Stem, 2000 WOG</v>
      </c>
      <c r="E241" t="s">
        <v>3558</v>
      </c>
      <c r="F241" t="s">
        <v>3557</v>
      </c>
    </row>
    <row r="242" spans="1:6">
      <c r="A242" t="s">
        <v>3213</v>
      </c>
      <c r="B242" t="s">
        <v>3552</v>
      </c>
      <c r="C242" t="s">
        <v>1993</v>
      </c>
      <c r="D242" t="str">
        <f>IFERROR(VLOOKUP(C242,Sheet2!B:F,5,FALSE),"")</f>
        <v>2 Piece, Standard Port, Stainless Steel, MNPT x FNPT Connection, Stainless Steel Ball &amp; Stem, 2000 WOG</v>
      </c>
      <c r="E242" t="s">
        <v>3560</v>
      </c>
      <c r="F242" t="s">
        <v>3559</v>
      </c>
    </row>
    <row r="243" spans="1:6">
      <c r="A243" t="s">
        <v>3213</v>
      </c>
      <c r="B243" t="s">
        <v>3552</v>
      </c>
      <c r="C243" t="s">
        <v>2007</v>
      </c>
      <c r="D243" t="str">
        <f>IFERROR(VLOOKUP(C243,Sheet2!B:F,5,FALSE),"")</f>
        <v>2 Piece, Standard Port, Stainless Steel, Threaded Connection, Stainless Steel Ball &amp; Stem, Spring Return Handle, 2000 WOG</v>
      </c>
      <c r="E243" t="s">
        <v>3562</v>
      </c>
      <c r="F243" t="s">
        <v>3561</v>
      </c>
    </row>
    <row r="244" spans="1:6">
      <c r="A244" t="s">
        <v>3213</v>
      </c>
      <c r="B244" t="s">
        <v>3552</v>
      </c>
      <c r="C244" t="s">
        <v>2064</v>
      </c>
      <c r="D244" t="str">
        <f>IFERROR(VLOOKUP(C244,Sheet2!B:F,5,FALSE),"")</f>
        <v>2 Piece, Reduced Port, 3 Way Dispenser Valve, Stainless Steel, Threaded Connection, Stainless Steel Ball &amp; Stem, 1000 WOG</v>
      </c>
      <c r="E244" t="s">
        <v>3564</v>
      </c>
      <c r="F244" t="s">
        <v>3563</v>
      </c>
    </row>
    <row r="245" spans="1:6">
      <c r="A245" t="s">
        <v>3213</v>
      </c>
      <c r="B245" t="s">
        <v>3552</v>
      </c>
      <c r="C245" t="s">
        <v>1939</v>
      </c>
      <c r="D245" t="str">
        <f>IFERROR(VLOOKUP(C245,Sheet2!B:F,5,FALSE),"")</f>
        <v>2 Piece, Full Port, Stainless Steel, Threaded Connection, Stainless Steel Ball &amp; Stem, 1000 WOG</v>
      </c>
      <c r="E245" t="s">
        <v>3566</v>
      </c>
      <c r="F245" t="s">
        <v>3565</v>
      </c>
    </row>
    <row r="246" spans="1:6">
      <c r="A246" t="s">
        <v>3213</v>
      </c>
      <c r="B246" t="s">
        <v>3552</v>
      </c>
      <c r="C246" t="s">
        <v>3569</v>
      </c>
      <c r="D246" t="s">
        <v>2984</v>
      </c>
      <c r="E246" t="s">
        <v>3568</v>
      </c>
      <c r="F246" t="s">
        <v>3567</v>
      </c>
    </row>
    <row r="247" spans="1:6">
      <c r="A247" t="s">
        <v>3213</v>
      </c>
      <c r="B247" t="s">
        <v>3552</v>
      </c>
      <c r="C247" t="s">
        <v>3570</v>
      </c>
      <c r="D247" t="s">
        <v>3578</v>
      </c>
      <c r="E247" t="s">
        <v>3581</v>
      </c>
      <c r="F247" t="s">
        <v>3574</v>
      </c>
    </row>
    <row r="248" spans="1:6">
      <c r="A248" t="s">
        <v>3213</v>
      </c>
      <c r="B248" t="s">
        <v>3552</v>
      </c>
      <c r="C248" t="s">
        <v>3571</v>
      </c>
      <c r="D248" t="s">
        <v>2989</v>
      </c>
      <c r="E248" t="s">
        <v>3582</v>
      </c>
      <c r="F248" t="s">
        <v>3575</v>
      </c>
    </row>
    <row r="249" spans="1:6">
      <c r="A249" t="s">
        <v>3213</v>
      </c>
      <c r="B249" t="s">
        <v>3552</v>
      </c>
      <c r="C249" t="s">
        <v>3572</v>
      </c>
      <c r="D249" t="s">
        <v>3579</v>
      </c>
      <c r="E249" t="s">
        <v>3583</v>
      </c>
      <c r="F249" t="s">
        <v>3576</v>
      </c>
    </row>
    <row r="250" spans="1:6">
      <c r="A250" t="s">
        <v>3213</v>
      </c>
      <c r="B250" t="s">
        <v>3552</v>
      </c>
      <c r="C250" t="s">
        <v>3573</v>
      </c>
      <c r="D250" t="s">
        <v>3580</v>
      </c>
      <c r="E250" t="s">
        <v>3584</v>
      </c>
      <c r="F250" t="s">
        <v>3577</v>
      </c>
    </row>
    <row r="251" spans="1:6">
      <c r="A251" t="s">
        <v>3213</v>
      </c>
      <c r="B251" t="s">
        <v>3552</v>
      </c>
      <c r="C251" t="s">
        <v>2035</v>
      </c>
      <c r="D251" t="str">
        <f>IFERROR(VLOOKUP(C251,Sheet2!B:F,5,FALSE),"")</f>
        <v>3 Piece, 4 Bolt, Full Port, Stainless Steel, Swing Out Body, Socket Weld Connection, Stainless Steel Ball &amp; Stem, 1000 WOG</v>
      </c>
      <c r="E251" t="s">
        <v>3586</v>
      </c>
      <c r="F251" t="s">
        <v>3585</v>
      </c>
    </row>
    <row r="252" spans="1:6">
      <c r="A252" t="s">
        <v>3213</v>
      </c>
      <c r="B252" t="s">
        <v>3552</v>
      </c>
      <c r="C252" t="s">
        <v>3542</v>
      </c>
      <c r="D252" t="str">
        <f>IFERROR(VLOOKUP(C252,Sheet2!B:F,5,FALSE),"")</f>
        <v>3 Piece, 4 Bolt, Full Port, Stainless Steel, Swing Out Body, Threaded x Socket Weld Connection, Stainless Steel Ball &amp; Stem, 1000 WOG</v>
      </c>
      <c r="E252" t="s">
        <v>3588</v>
      </c>
      <c r="F252" t="s">
        <v>3587</v>
      </c>
    </row>
    <row r="253" spans="1:6">
      <c r="A253" t="s">
        <v>3213</v>
      </c>
      <c r="B253" t="s">
        <v>3552</v>
      </c>
      <c r="C253" t="s">
        <v>2068</v>
      </c>
      <c r="D253" t="str">
        <f>IFERROR(VLOOKUP(C253,Sheet2!B:F,5,FALSE),"")</f>
        <v>3 Piece, 4 Bolt Enclosed, Standard Port, Stainless Steel, Threaded Connection, Stainless Steel Ball &amp; Stem, 2000 WOG</v>
      </c>
      <c r="E253" t="s">
        <v>3590</v>
      </c>
      <c r="F253" t="s">
        <v>3589</v>
      </c>
    </row>
    <row r="254" spans="1:6">
      <c r="A254" t="s">
        <v>3213</v>
      </c>
      <c r="B254" t="s">
        <v>3552</v>
      </c>
      <c r="C254" t="s">
        <v>2075</v>
      </c>
      <c r="D254" t="str">
        <f>IFERROR(VLOOKUP(C254,Sheet2!B:F,5,FALSE),"")</f>
        <v>3 Piece, 4 Bolt Enclosed, Standard Port, Stainless Steel, Socket Weld Connection, Stainless Steel Ball &amp; Stem, 2000 WOG</v>
      </c>
      <c r="E254" t="s">
        <v>3592</v>
      </c>
      <c r="F254" t="s">
        <v>3591</v>
      </c>
    </row>
    <row r="255" spans="1:6">
      <c r="A255" t="s">
        <v>3213</v>
      </c>
      <c r="B255" t="s">
        <v>3552</v>
      </c>
      <c r="C255" t="s">
        <v>2096</v>
      </c>
      <c r="D255" t="str">
        <f>IFERROR(VLOOKUP(C255,Sheet2!B:F,5,FALSE),"")</f>
        <v>5 Piece, Double Union End, Full Port, Stainless Steel, Threaded Connection, Stainless Steel Ball &amp; Stem, 3000 WOG</v>
      </c>
      <c r="E255" t="s">
        <v>3594</v>
      </c>
      <c r="F255" t="s">
        <v>3593</v>
      </c>
    </row>
    <row r="256" spans="1:6">
      <c r="A256" t="s">
        <v>3213</v>
      </c>
      <c r="B256" t="s">
        <v>3552</v>
      </c>
      <c r="C256" t="s">
        <v>2103</v>
      </c>
      <c r="D256" t="str">
        <f>IFERROR(VLOOKUP(C256,Sheet2!B:F,5,FALSE),"")</f>
        <v>5 Piece, Double Union End, Full Port, Stainless Steel, Socket Weld Connection, Stainless Steel Ball &amp; Stem, 3000 WOG</v>
      </c>
      <c r="E256" t="s">
        <v>3596</v>
      </c>
      <c r="F256" t="s">
        <v>3595</v>
      </c>
    </row>
    <row r="257" spans="1:6">
      <c r="A257" t="s">
        <v>3213</v>
      </c>
      <c r="B257" t="s">
        <v>3552</v>
      </c>
      <c r="C257" t="s">
        <v>2058</v>
      </c>
      <c r="D257" t="str">
        <f>IFERROR(VLOOKUP(C257,Sheet2!B:F,5,FALSE),"")</f>
        <v>1 Piece / 2 Piece, Full Port, Mini Ball Valve, Stainless Steel, FNPT x MNPT Connection, Stainless Steel Ball &amp; Stem, 1000 WOG</v>
      </c>
      <c r="E257" t="s">
        <v>3598</v>
      </c>
      <c r="F257" t="s">
        <v>3597</v>
      </c>
    </row>
    <row r="258" spans="1:6">
      <c r="A258" t="s">
        <v>3213</v>
      </c>
      <c r="B258" t="s">
        <v>3523</v>
      </c>
      <c r="C258" t="s">
        <v>2165</v>
      </c>
      <c r="D258" t="str">
        <f>IFERROR(VLOOKUP(C258,Sheet2!B:F,5,FALSE),"")</f>
        <v>2 Piece, Full Port, Carbon Steel, Flanged Connection, Stainless Steel Ball &amp; Stem, Class 150</v>
      </c>
      <c r="E258" t="s">
        <v>3547</v>
      </c>
      <c r="F258" t="s">
        <v>3524</v>
      </c>
    </row>
    <row r="259" spans="1:6">
      <c r="A259" t="s">
        <v>3213</v>
      </c>
      <c r="B259" t="s">
        <v>3523</v>
      </c>
      <c r="C259" t="s">
        <v>2180</v>
      </c>
      <c r="D259" t="str">
        <f>IFERROR(VLOOKUP(C259,Sheet2!B:F,5,FALSE),"")</f>
        <v>2 Piece, Full Port, Carbon Steel, Flanged Connection, Stainless Steel Ball &amp; Stem, Class 300</v>
      </c>
      <c r="E259" t="s">
        <v>3548</v>
      </c>
      <c r="F259" t="s">
        <v>3525</v>
      </c>
    </row>
    <row r="260" spans="1:6">
      <c r="A260" t="s">
        <v>3213</v>
      </c>
      <c r="B260" t="s">
        <v>3523</v>
      </c>
      <c r="C260" t="s">
        <v>2137</v>
      </c>
      <c r="D260" t="str">
        <f>IFERROR(VLOOKUP(C260,Sheet2!B:F,5,FALSE),"")</f>
        <v>2 Piece, Full Port, Stainless Steel, Flanged Connection, Stainless Steel Ball &amp; Stem, Class 150</v>
      </c>
      <c r="E260" t="s">
        <v>3546</v>
      </c>
      <c r="F260" t="s">
        <v>3543</v>
      </c>
    </row>
    <row r="261" spans="1:6">
      <c r="A261" t="s">
        <v>3213</v>
      </c>
      <c r="B261" t="s">
        <v>3523</v>
      </c>
      <c r="C261" t="s">
        <v>2159</v>
      </c>
      <c r="D261" t="str">
        <f>IFERROR(VLOOKUP(C261,Sheet2!B:F,5,FALSE),"")</f>
        <v>2 Piece, Full Port, Stainless Steel, Flanged Connection, Stainless Steel Ball &amp; Stem, Class 300</v>
      </c>
      <c r="E261" t="s">
        <v>3545</v>
      </c>
      <c r="F261" t="s">
        <v>3544</v>
      </c>
    </row>
    <row r="262" spans="1:6">
      <c r="A262" t="s">
        <v>3213</v>
      </c>
      <c r="B262" t="s">
        <v>3695</v>
      </c>
      <c r="C262" t="s">
        <v>694</v>
      </c>
      <c r="D262" t="str">
        <f>IFERROR(VLOOKUP(C262,Sheet2!B:F,5,FALSE),"")</f>
        <v>2 Piece, Full Port, Dezincification Resistant Lead Free Brass, CPVC Connection, 150 WOG</v>
      </c>
      <c r="E262" t="s">
        <v>3358</v>
      </c>
      <c r="F262" t="s">
        <v>3315</v>
      </c>
    </row>
    <row r="263" spans="1:6">
      <c r="A263" t="s">
        <v>3213</v>
      </c>
      <c r="B263" t="s">
        <v>3695</v>
      </c>
      <c r="C263" t="s">
        <v>698</v>
      </c>
      <c r="D263" t="str">
        <f>IFERROR(VLOOKUP(C263,Sheet2!B:F,5,FALSE),"")</f>
        <v>2 Piece, Full Port, Dezincification Resistant Lead Free Brass, CPVC Connection, Drain, 150 WOG</v>
      </c>
      <c r="E263" t="s">
        <v>3359</v>
      </c>
      <c r="F263" t="s">
        <v>3696</v>
      </c>
    </row>
    <row r="264" spans="1:6">
      <c r="A264" t="s">
        <v>3213</v>
      </c>
      <c r="B264" t="s">
        <v>3695</v>
      </c>
      <c r="C264" t="s">
        <v>2579</v>
      </c>
      <c r="D264" t="str">
        <f>IFERROR(VLOOKUP(C264,Sheet2!B:F,5,FALSE),"")</f>
        <v>CPVC Ball Valve, Copper Tube Size, Solvent Connection, 150 WOG</v>
      </c>
      <c r="E264" t="s">
        <v>3703</v>
      </c>
      <c r="F264" t="s">
        <v>3697</v>
      </c>
    </row>
    <row r="265" spans="1:6">
      <c r="A265" t="s">
        <v>3213</v>
      </c>
      <c r="B265" t="s">
        <v>3695</v>
      </c>
      <c r="C265" t="s">
        <v>2535</v>
      </c>
      <c r="D265" t="str">
        <f>IFERROR(VLOOKUP(C265,Sheet2!B:F,5,FALSE),"")</f>
        <v>5-Piece, Tru-Union, PVC, Schedule 80, Threaded &amp; Solvent Connections, Schedule 80, 150 WOG</v>
      </c>
      <c r="E265" t="s">
        <v>3704</v>
      </c>
      <c r="F265" t="s">
        <v>3698</v>
      </c>
    </row>
    <row r="266" spans="1:6">
      <c r="A266" t="s">
        <v>3213</v>
      </c>
      <c r="B266" t="s">
        <v>3695</v>
      </c>
      <c r="C266" t="s">
        <v>2545</v>
      </c>
      <c r="D266" t="str">
        <f>IFERROR(VLOOKUP(C266,Sheet2!B:F,5,FALSE),"")</f>
        <v>PVC Ball Valve, Schedule 80, Threaded Connection, 150 WOG</v>
      </c>
      <c r="E266" t="s">
        <v>3705</v>
      </c>
      <c r="F266" t="s">
        <v>3699</v>
      </c>
    </row>
    <row r="267" spans="1:6">
      <c r="A267" t="s">
        <v>3213</v>
      </c>
      <c r="B267" t="s">
        <v>3695</v>
      </c>
      <c r="C267" t="s">
        <v>2555</v>
      </c>
      <c r="D267" t="str">
        <f>IFERROR(VLOOKUP(C267,Sheet2!B:F,5,FALSE),"")</f>
        <v>PVC Ball Valve, Schedule 80, Solvent Connection, 150 WOG</v>
      </c>
      <c r="E267" t="s">
        <v>3706</v>
      </c>
      <c r="F267" t="s">
        <v>3700</v>
      </c>
    </row>
    <row r="268" spans="1:6">
      <c r="A268" t="s">
        <v>3213</v>
      </c>
      <c r="B268" t="s">
        <v>3695</v>
      </c>
      <c r="C268" t="s">
        <v>2565</v>
      </c>
      <c r="D268" t="str">
        <f>IFERROR(VLOOKUP(C268,Sheet2!B:F,5,FALSE),"")</f>
        <v>PVC Ball Valve, Schedule 40, Threaded Connection, 150 WOG</v>
      </c>
      <c r="E268" t="s">
        <v>3707</v>
      </c>
      <c r="F268" t="s">
        <v>3701</v>
      </c>
    </row>
    <row r="269" spans="1:6">
      <c r="A269" t="s">
        <v>3213</v>
      </c>
      <c r="B269" t="s">
        <v>3695</v>
      </c>
      <c r="C269" t="s">
        <v>2572</v>
      </c>
      <c r="D269" t="str">
        <f>IFERROR(VLOOKUP(C269,Sheet2!B:F,5,FALSE),"")</f>
        <v>PVC Ball Valve, Schedule 40, Solvent Connection, 150 WOG</v>
      </c>
      <c r="E269" t="s">
        <v>3708</v>
      </c>
      <c r="F269" t="s">
        <v>3702</v>
      </c>
    </row>
    <row r="270" spans="1:6">
      <c r="A270" t="s">
        <v>3863</v>
      </c>
      <c r="B270" t="s">
        <v>3863</v>
      </c>
      <c r="C270" t="s">
        <v>366</v>
      </c>
      <c r="D270" t="s">
        <v>3864</v>
      </c>
      <c r="E270" t="s">
        <v>3876</v>
      </c>
      <c r="F270" t="s">
        <v>3872</v>
      </c>
    </row>
    <row r="271" spans="1:6">
      <c r="A271" t="s">
        <v>3863</v>
      </c>
      <c r="B271" t="s">
        <v>3863</v>
      </c>
      <c r="C271" t="s">
        <v>381</v>
      </c>
      <c r="D271" t="s">
        <v>3865</v>
      </c>
      <c r="E271" t="s">
        <v>3877</v>
      </c>
      <c r="F271" t="s">
        <v>3873</v>
      </c>
    </row>
    <row r="272" spans="1:6">
      <c r="A272" t="s">
        <v>3863</v>
      </c>
      <c r="B272" t="s">
        <v>3863</v>
      </c>
      <c r="C272" t="s">
        <v>3866</v>
      </c>
      <c r="D272" t="str">
        <f>IFERROR(VLOOKUP(C272,Sheet2!B:F,5,FALSE),"")</f>
        <v>3-Way Ball, Tankless Water Heater Valve Kit, Includes Pressure Relief Valve, Threaded x Sharkbite Connections, 600 WOG</v>
      </c>
      <c r="E272" t="s">
        <v>3878</v>
      </c>
      <c r="F272" t="s">
        <v>3871</v>
      </c>
    </row>
    <row r="273" spans="1:6">
      <c r="A273" t="s">
        <v>3863</v>
      </c>
      <c r="B273" t="s">
        <v>3863</v>
      </c>
      <c r="C273" t="s">
        <v>3867</v>
      </c>
      <c r="D273" t="str">
        <f>IFERROR(VLOOKUP(C273,Sheet2!B:F,5,FALSE),"")</f>
        <v>3-Way Ball, Tankless Water Heater Valve Kit, No Pressure Relief Port, 600 WOG</v>
      </c>
      <c r="E273" t="s">
        <v>3879</v>
      </c>
      <c r="F273" t="s">
        <v>3874</v>
      </c>
    </row>
    <row r="274" spans="1:6">
      <c r="A274" t="s">
        <v>3863</v>
      </c>
      <c r="B274" t="s">
        <v>3863</v>
      </c>
      <c r="C274" t="s">
        <v>379</v>
      </c>
      <c r="D274" t="str">
        <f>IFERROR(VLOOKUP(C274,Sheet2!B:F,5,FALSE),"")</f>
        <v>3-Way Ball, Tankless Water Heater Valve Kit, Compact Design, Includes Pressure Relief Valve, 600 WOG</v>
      </c>
      <c r="E274" t="s">
        <v>3880</v>
      </c>
      <c r="F274" t="s">
        <v>3875</v>
      </c>
    </row>
    <row r="275" spans="1:6">
      <c r="A275" t="s">
        <v>3119</v>
      </c>
      <c r="B275" t="s">
        <v>3649</v>
      </c>
      <c r="C275" t="s">
        <v>3650</v>
      </c>
      <c r="D275" t="s">
        <v>3662</v>
      </c>
      <c r="E275" t="s">
        <v>3684</v>
      </c>
      <c r="F275" t="s">
        <v>3673</v>
      </c>
    </row>
    <row r="276" spans="1:6">
      <c r="A276" t="s">
        <v>3119</v>
      </c>
      <c r="B276" t="s">
        <v>3649</v>
      </c>
      <c r="C276" t="s">
        <v>3651</v>
      </c>
      <c r="D276" t="s">
        <v>3663</v>
      </c>
      <c r="E276" t="s">
        <v>3685</v>
      </c>
      <c r="F276" t="s">
        <v>3674</v>
      </c>
    </row>
    <row r="277" spans="1:6">
      <c r="A277" t="s">
        <v>3119</v>
      </c>
      <c r="B277" t="s">
        <v>3649</v>
      </c>
      <c r="C277" t="s">
        <v>3660</v>
      </c>
      <c r="D277" t="s">
        <v>3665</v>
      </c>
      <c r="E277" t="s">
        <v>3687</v>
      </c>
      <c r="F277" t="s">
        <v>3676</v>
      </c>
    </row>
    <row r="278" spans="1:6">
      <c r="A278" t="s">
        <v>3119</v>
      </c>
      <c r="B278" t="s">
        <v>3649</v>
      </c>
      <c r="C278" t="s">
        <v>3661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3652</v>
      </c>
      <c r="C279" t="s">
        <v>3653</v>
      </c>
      <c r="D279" t="s">
        <v>3666</v>
      </c>
      <c r="E279" t="s">
        <v>3688</v>
      </c>
      <c r="F279" t="s">
        <v>3677</v>
      </c>
    </row>
    <row r="280" spans="1:6">
      <c r="A280" t="s">
        <v>3119</v>
      </c>
      <c r="B280" t="s">
        <v>3652</v>
      </c>
      <c r="C280" t="s">
        <v>3654</v>
      </c>
      <c r="D280" t="s">
        <v>3667</v>
      </c>
      <c r="E280" t="s">
        <v>3690</v>
      </c>
      <c r="F280" t="s">
        <v>3678</v>
      </c>
    </row>
    <row r="281" spans="1:6">
      <c r="A281" t="s">
        <v>3119</v>
      </c>
      <c r="B281" t="s">
        <v>3652</v>
      </c>
      <c r="C281" t="s">
        <v>3655</v>
      </c>
      <c r="D281" t="s">
        <v>3668</v>
      </c>
      <c r="E281" t="s">
        <v>3689</v>
      </c>
      <c r="F281" t="s">
        <v>3679</v>
      </c>
    </row>
    <row r="282" spans="1:6">
      <c r="A282" t="s">
        <v>3119</v>
      </c>
      <c r="B282" t="s">
        <v>3652</v>
      </c>
      <c r="C282" t="s">
        <v>3656</v>
      </c>
      <c r="D282" t="s">
        <v>3669</v>
      </c>
      <c r="E282" t="s">
        <v>3691</v>
      </c>
      <c r="F282" t="s">
        <v>3680</v>
      </c>
    </row>
    <row r="283" spans="1:6">
      <c r="A283" t="s">
        <v>3119</v>
      </c>
      <c r="B283" t="s">
        <v>3652</v>
      </c>
      <c r="C283" t="s">
        <v>3657</v>
      </c>
      <c r="D283" t="s">
        <v>3670</v>
      </c>
      <c r="E283" t="s">
        <v>3692</v>
      </c>
      <c r="F283" t="s">
        <v>3681</v>
      </c>
    </row>
    <row r="284" spans="1:6">
      <c r="A284" t="s">
        <v>3119</v>
      </c>
      <c r="B284" t="s">
        <v>3652</v>
      </c>
      <c r="C284" t="s">
        <v>3658</v>
      </c>
      <c r="D284" t="s">
        <v>3671</v>
      </c>
      <c r="E284" t="s">
        <v>3693</v>
      </c>
      <c r="F284" t="s">
        <v>3682</v>
      </c>
    </row>
    <row r="285" spans="1:6">
      <c r="A285" t="s">
        <v>3119</v>
      </c>
      <c r="B285" t="s">
        <v>3652</v>
      </c>
      <c r="C285" t="s">
        <v>3659</v>
      </c>
      <c r="D285" t="s">
        <v>3672</v>
      </c>
      <c r="E285" t="s">
        <v>3694</v>
      </c>
      <c r="F285" t="s">
        <v>3683</v>
      </c>
    </row>
    <row r="286" spans="1:6">
      <c r="A286" t="s">
        <v>3709</v>
      </c>
      <c r="B286" t="s">
        <v>3214</v>
      </c>
      <c r="C286" t="s">
        <v>814</v>
      </c>
      <c r="D286" t="str">
        <f>IFERROR(VLOOKUP(C286,Sheet2!B:F,5,FALSE),"")</f>
        <v>Gate Valve, Rising Stem, Lead Free Bronze, Threaded Connection, 300 WOG</v>
      </c>
      <c r="E286" t="s">
        <v>3761</v>
      </c>
      <c r="F286" t="s">
        <v>3711</v>
      </c>
    </row>
    <row r="287" spans="1:6">
      <c r="A287" t="s">
        <v>3709</v>
      </c>
      <c r="B287" t="s">
        <v>3214</v>
      </c>
      <c r="C287" t="s">
        <v>821</v>
      </c>
      <c r="D287" t="str">
        <f>IFERROR(VLOOKUP(C287,Sheet2!B:F,5,FALSE),"")</f>
        <v>Gate Valve, Rising Stem, Lead Free Bronze, Solder Connection, 300 WOG</v>
      </c>
      <c r="E287" t="s">
        <v>3762</v>
      </c>
      <c r="F287" t="s">
        <v>3712</v>
      </c>
    </row>
    <row r="288" spans="1:6">
      <c r="A288" t="s">
        <v>3709</v>
      </c>
      <c r="B288" t="s">
        <v>3215</v>
      </c>
      <c r="C288" t="s">
        <v>800</v>
      </c>
      <c r="D288" t="str">
        <f>IFERROR(VLOOKUP(C288,Sheet2!B:F,5,FALSE),"")</f>
        <v>Gate Valve, Non-rising Stem, Dezincification Resistant Lead Free Brass, Threaded Connection,  200 WOG</v>
      </c>
      <c r="E288" t="s">
        <v>3763</v>
      </c>
      <c r="F288" t="s">
        <v>3713</v>
      </c>
    </row>
    <row r="289" spans="1:6">
      <c r="A289" t="s">
        <v>3709</v>
      </c>
      <c r="B289" t="s">
        <v>3215</v>
      </c>
      <c r="C289" t="s">
        <v>807</v>
      </c>
      <c r="D289" t="str">
        <f>IFERROR(VLOOKUP(C289,Sheet2!B:F,5,FALSE),"")</f>
        <v>Gate Valve, Non-rising Stem, Dezincification Resistant Lead Free Brass, Solder Connection,  200 WOG</v>
      </c>
      <c r="E289" t="s">
        <v>3764</v>
      </c>
      <c r="F289" t="s">
        <v>3714</v>
      </c>
    </row>
    <row r="290" spans="1:6">
      <c r="A290" t="s">
        <v>3709</v>
      </c>
      <c r="B290" t="s">
        <v>3407</v>
      </c>
      <c r="C290" t="s">
        <v>3710</v>
      </c>
      <c r="D290" t="str">
        <f>IFERROR(VLOOKUP(C290,Sheet2!B:F,5,FALSE),"")</f>
        <v>Gate Valve, Non-rising Stem, Brass, Threaded Connection, 200 WOG</v>
      </c>
      <c r="E290" t="s">
        <v>3765</v>
      </c>
      <c r="F290" t="s">
        <v>3715</v>
      </c>
    </row>
    <row r="291" spans="1:6">
      <c r="A291" t="s">
        <v>3709</v>
      </c>
      <c r="B291" t="s">
        <v>3407</v>
      </c>
      <c r="C291" t="s">
        <v>2516</v>
      </c>
      <c r="D291" t="str">
        <f>IFERROR(VLOOKUP(C291,Sheet2!B:F,5,FALSE),"")</f>
        <v>Gate Valve, Non-rising Stem, Brass, Solder Connection, 200 WOG</v>
      </c>
      <c r="E291" t="s">
        <v>3766</v>
      </c>
      <c r="F291" t="s">
        <v>3716</v>
      </c>
    </row>
    <row r="292" spans="1:6">
      <c r="A292" t="s">
        <v>3709</v>
      </c>
      <c r="B292" t="s">
        <v>3717</v>
      </c>
      <c r="C292" t="s">
        <v>2207</v>
      </c>
      <c r="D292" t="str">
        <f>IFERROR(VLOOKUP(C292,Sheet2!B:F,5,FALSE),"")</f>
        <v>Gate Valve, Non-Rising Stem, Cast Iron, Flanged Connection, Class 125</v>
      </c>
      <c r="E292" t="s">
        <v>3767</v>
      </c>
      <c r="F292" t="s">
        <v>3718</v>
      </c>
    </row>
    <row r="293" spans="1:6">
      <c r="A293" t="s">
        <v>3709</v>
      </c>
      <c r="B293" t="s">
        <v>3717</v>
      </c>
      <c r="C293" t="s">
        <v>2213</v>
      </c>
      <c r="D293" t="str">
        <f>IFERROR(VLOOKUP(C293,Sheet2!B:F,5,FALSE),"")</f>
        <v>Gate Valve, OS&amp;Y, Cast Iron, Flanged Connection, Class 125</v>
      </c>
      <c r="E293" t="s">
        <v>3768</v>
      </c>
      <c r="F293" t="s">
        <v>3719</v>
      </c>
    </row>
    <row r="294" spans="1:6">
      <c r="A294" t="s">
        <v>3720</v>
      </c>
      <c r="B294" t="s">
        <v>3214</v>
      </c>
      <c r="C294" t="s">
        <v>753</v>
      </c>
      <c r="D294" t="str">
        <f>IFERROR(VLOOKUP(C294,Sheet2!B:F,5,FALSE),"")</f>
        <v>Y-Pattern Swing Check Valve, Lead Free Bronze, Threaded Connection, Class 150, 300 WOG</v>
      </c>
      <c r="E294" t="s">
        <v>3747</v>
      </c>
      <c r="F294" t="s">
        <v>3724</v>
      </c>
    </row>
    <row r="295" spans="1:6">
      <c r="A295" t="s">
        <v>3720</v>
      </c>
      <c r="B295" t="s">
        <v>3214</v>
      </c>
      <c r="C295" t="s">
        <v>760</v>
      </c>
      <c r="D295" t="str">
        <f>IFERROR(VLOOKUP(C295,Sheet2!B:F,5,FALSE),"")</f>
        <v>Y-pattern Swing Check Valve, Lead Free Bronze, Solder Connection, Class 150, 300 WOG</v>
      </c>
      <c r="E295" t="s">
        <v>3748</v>
      </c>
      <c r="F295" t="s">
        <v>3725</v>
      </c>
    </row>
    <row r="296" spans="1:6">
      <c r="A296" t="s">
        <v>3720</v>
      </c>
      <c r="B296" t="s">
        <v>3214</v>
      </c>
      <c r="C296" t="s">
        <v>767</v>
      </c>
      <c r="D296" t="str">
        <f>IFERROR(VLOOKUP(C296,Sheet2!B:F,5,FALSE),"")</f>
        <v>Y-pattern Swing Check Valve, Lead Free Bronze, Press Connection, Class 150, 300 WOG</v>
      </c>
      <c r="E296" t="s">
        <v>3749</v>
      </c>
      <c r="F296" t="s">
        <v>3726</v>
      </c>
    </row>
    <row r="297" spans="1:6">
      <c r="A297" t="s">
        <v>3720</v>
      </c>
      <c r="B297" t="s">
        <v>3215</v>
      </c>
      <c r="C297" t="s">
        <v>735</v>
      </c>
      <c r="D297" t="str">
        <f>IFERROR(VLOOKUP(C297,Sheet2!B:F,5,FALSE),"")</f>
        <v>Inline Check Valve, Dezincification Resistant Lead Free Brass, Threaded Connection, Class 150, 300 WOG</v>
      </c>
      <c r="E297" t="s">
        <v>3750</v>
      </c>
      <c r="F297" t="s">
        <v>3727</v>
      </c>
    </row>
    <row r="298" spans="1:6">
      <c r="A298" t="s">
        <v>3720</v>
      </c>
      <c r="B298" t="s">
        <v>3215</v>
      </c>
      <c r="C298" t="s">
        <v>742</v>
      </c>
      <c r="D298" t="str">
        <f>IFERROR(VLOOKUP(C298,Sheet2!B:F,5,FALSE),"")</f>
        <v>Inline Check Valve, Dezincification Resistant Lead Free Brass, Solder Connection, Class 150, 300 WOG</v>
      </c>
      <c r="E298" t="s">
        <v>3751</v>
      </c>
      <c r="F298" t="s">
        <v>3728</v>
      </c>
    </row>
    <row r="299" spans="1:6">
      <c r="A299" t="s">
        <v>3720</v>
      </c>
      <c r="B299" t="s">
        <v>3215</v>
      </c>
      <c r="C299" t="s">
        <v>3721</v>
      </c>
      <c r="D299" t="s">
        <v>3723</v>
      </c>
      <c r="E299" t="s">
        <v>3752</v>
      </c>
      <c r="F299" t="s">
        <v>3729</v>
      </c>
    </row>
    <row r="300" spans="1:6">
      <c r="A300" t="s">
        <v>3720</v>
      </c>
      <c r="B300" t="s">
        <v>3215</v>
      </c>
      <c r="C300" t="s">
        <v>728</v>
      </c>
      <c r="D300" t="str">
        <f>IFERROR(VLOOKUP(C300,Sheet2!B:F,5,FALSE),"")</f>
        <v>Inline Check Valve, Dezincification Resistant Lead Free Brass, Press Connection, Class 150, 300 WOG</v>
      </c>
      <c r="E300" t="s">
        <v>3753</v>
      </c>
      <c r="F300" t="s">
        <v>3730</v>
      </c>
    </row>
    <row r="301" spans="1:6">
      <c r="A301" t="s">
        <v>3720</v>
      </c>
      <c r="B301" t="s">
        <v>3215</v>
      </c>
      <c r="C301" t="s">
        <v>749</v>
      </c>
      <c r="D301" t="str">
        <f>IFERROR(VLOOKUP(C301,Sheet2!B:F,5,FALSE),"")</f>
        <v>Inline Check Valve, Dezincification Resistant Lead Free Brass, Expansion Pex Connection, Class 150, 300 WOG</v>
      </c>
      <c r="E301" t="s">
        <v>3754</v>
      </c>
      <c r="F301" t="s">
        <v>3731</v>
      </c>
    </row>
    <row r="302" spans="1:6">
      <c r="A302" t="s">
        <v>3720</v>
      </c>
      <c r="B302" t="s">
        <v>3215</v>
      </c>
      <c r="C302" t="s">
        <v>781</v>
      </c>
      <c r="D302" t="str">
        <f>IFERROR(VLOOKUP(C302,Sheet2!B:F,5,FALSE),"")</f>
        <v>Horizontal Swing Check Valve, Dezincification Resistant Lead Free Brass, Threaded Connection, 200 WOG</v>
      </c>
      <c r="E302" t="s">
        <v>3755</v>
      </c>
      <c r="F302" t="s">
        <v>3732</v>
      </c>
    </row>
    <row r="303" spans="1:6">
      <c r="A303" t="s">
        <v>3720</v>
      </c>
      <c r="B303" t="s">
        <v>3215</v>
      </c>
      <c r="C303" t="s">
        <v>791</v>
      </c>
      <c r="D303" t="str">
        <f>IFERROR(VLOOKUP(C303,Sheet2!B:F,5,FALSE),"")</f>
        <v>Horizontal Swing Check Valve, Dezincification Resistant Lead Free Brass, Solder Connection, 200 WOG</v>
      </c>
      <c r="E303" t="s">
        <v>3756</v>
      </c>
      <c r="F303" t="s">
        <v>3733</v>
      </c>
    </row>
    <row r="304" spans="1:6">
      <c r="A304" t="s">
        <v>3720</v>
      </c>
      <c r="B304" t="s">
        <v>3215</v>
      </c>
      <c r="C304" t="s">
        <v>774</v>
      </c>
      <c r="D304" t="str">
        <f>IFERROR(VLOOKUP(C304,Sheet2!B:F,5,FALSE),"")</f>
        <v>Horizontal Swing Check Valve, Dezincification Resistant Lead Free Brass, Press Connection, 200 WOG</v>
      </c>
      <c r="E304" t="s">
        <v>3757</v>
      </c>
      <c r="F304" t="s">
        <v>3734</v>
      </c>
    </row>
    <row r="305" spans="1:6">
      <c r="A305" t="s">
        <v>3720</v>
      </c>
      <c r="B305" t="s">
        <v>3243</v>
      </c>
      <c r="C305" t="s">
        <v>2466</v>
      </c>
      <c r="D305" t="str">
        <f>IFERROR(VLOOKUP(C305,Sheet2!B:F,5,FALSE),"")</f>
        <v>Y-pattern Swing Check Valve, Bronze, Threaded Connection, Class 150, 300 WOG</v>
      </c>
      <c r="E305" t="s">
        <v>3758</v>
      </c>
      <c r="F305" t="s">
        <v>3735</v>
      </c>
    </row>
    <row r="306" spans="1:6">
      <c r="A306" t="s">
        <v>3720</v>
      </c>
      <c r="B306" t="s">
        <v>3243</v>
      </c>
      <c r="C306" t="s">
        <v>2477</v>
      </c>
      <c r="D306" t="str">
        <f>IFERROR(VLOOKUP(C306,Sheet2!B:F,5,FALSE),"")</f>
        <v>Y-pattern Swing Check Valve, Bronze, Solder Connection, Class 150, 300 WOG</v>
      </c>
      <c r="E306" t="s">
        <v>3759</v>
      </c>
      <c r="F306" t="s">
        <v>3736</v>
      </c>
    </row>
    <row r="307" spans="1:6">
      <c r="A307" t="s">
        <v>3720</v>
      </c>
      <c r="B307" t="s">
        <v>3407</v>
      </c>
      <c r="C307" t="s">
        <v>2486</v>
      </c>
      <c r="D307" t="str">
        <f>IFERROR(VLOOKUP(C307,Sheet2!B:F,5,FALSE),"")</f>
        <v>Horizontal Swing Check Valve, Brass, Threaded Connection, Class 125, 200 WOG</v>
      </c>
      <c r="E307" t="s">
        <v>3760</v>
      </c>
      <c r="F307" t="s">
        <v>3737</v>
      </c>
    </row>
    <row r="308" spans="1:6">
      <c r="A308" t="s">
        <v>3720</v>
      </c>
      <c r="B308" t="s">
        <v>3407</v>
      </c>
      <c r="C308" t="s">
        <v>2497</v>
      </c>
      <c r="D308" t="str">
        <f>IFERROR(VLOOKUP(C308,Sheet2!B:F,5,FALSE),"")</f>
        <v>Horizontal Swing Check Valve, Brass, Solder Connection, Class 125, 200 WOG</v>
      </c>
      <c r="E308" t="s">
        <v>3745</v>
      </c>
      <c r="F308" t="s">
        <v>3738</v>
      </c>
    </row>
    <row r="309" spans="1:6">
      <c r="A309" t="s">
        <v>3720</v>
      </c>
      <c r="B309" t="s">
        <v>3552</v>
      </c>
      <c r="C309" t="s">
        <v>2528</v>
      </c>
      <c r="D309" t="str">
        <f>IFERROR(VLOOKUP(C309,Sheet2!B:F,5,FALSE),"")</f>
        <v>Horizontal Swing Check Valve, Stainless Steel, Threaded Connection, 200 WOG</v>
      </c>
      <c r="E309" t="s">
        <v>3746</v>
      </c>
      <c r="F309" t="s">
        <v>3739</v>
      </c>
    </row>
    <row r="310" spans="1:6">
      <c r="A310" t="s">
        <v>3720</v>
      </c>
      <c r="B310" t="s">
        <v>3717</v>
      </c>
      <c r="C310" t="s">
        <v>2221</v>
      </c>
      <c r="D310" t="str">
        <f>IFERROR(VLOOKUP(C310,Sheet2!B:F,5,FALSE),"")</f>
        <v>Horizontal Swing Check Valve, Cast Iron, Flanged Connection, Class 125</v>
      </c>
      <c r="E310" t="s">
        <v>3742</v>
      </c>
      <c r="F310" t="s">
        <v>3722</v>
      </c>
    </row>
    <row r="311" spans="1:6">
      <c r="A311" t="s">
        <v>3720</v>
      </c>
      <c r="B311" t="s">
        <v>3717</v>
      </c>
      <c r="C311" t="s">
        <v>2237</v>
      </c>
      <c r="D311" t="str">
        <f>IFERROR(VLOOKUP(C311,Sheet2!B:F,5,FALSE),"")</f>
        <v>Wafer Check Valve, Cast Iron, Flanged Connection, Class 125</v>
      </c>
      <c r="E311" t="s">
        <v>3743</v>
      </c>
      <c r="F311" t="s">
        <v>3741</v>
      </c>
    </row>
    <row r="312" spans="1:6">
      <c r="A312" t="s">
        <v>3720</v>
      </c>
      <c r="B312" t="s">
        <v>3717</v>
      </c>
      <c r="C312" t="s">
        <v>2245</v>
      </c>
      <c r="D312" t="str">
        <f>IFERROR(VLOOKUP(C312,Sheet2!B:F,5,FALSE),"")</f>
        <v>Wafer Check Valve, Cast Iron, Flanged Connection, NSF Approved, Class 125</v>
      </c>
      <c r="E312" t="s">
        <v>3744</v>
      </c>
      <c r="F312" t="s">
        <v>3740</v>
      </c>
    </row>
    <row r="313" spans="1:6">
      <c r="A313" t="s">
        <v>3769</v>
      </c>
      <c r="B313" t="s">
        <v>3214</v>
      </c>
      <c r="C313" t="s">
        <v>872</v>
      </c>
      <c r="D313" t="str">
        <f>IFERROR(VLOOKUP(C313,Sheet2!B:F,5,FALSE),"")</f>
        <v>Y-Strainer, Lead Free Bronze, Threaded Connection, Stainless Steel Screen, 20 Mesh, 150 WOG</v>
      </c>
      <c r="E313" t="s">
        <v>3773</v>
      </c>
      <c r="F313" t="s">
        <v>3770</v>
      </c>
    </row>
    <row r="314" spans="1:6">
      <c r="A314" t="s">
        <v>3769</v>
      </c>
      <c r="B314" t="s">
        <v>3214</v>
      </c>
      <c r="C314" t="s">
        <v>881</v>
      </c>
      <c r="D314" t="str">
        <f>IFERROR(VLOOKUP(C314,Sheet2!B:F,5,FALSE),"")</f>
        <v>Y-Strainer, Lead Free Bronze, Solder Connection, Stainless Steel Screen, 20 Mesh, 150 WOG</v>
      </c>
      <c r="E314" t="s">
        <v>3774</v>
      </c>
      <c r="F314" t="s">
        <v>3771</v>
      </c>
    </row>
    <row r="315" spans="1:6">
      <c r="A315" t="s">
        <v>3769</v>
      </c>
      <c r="B315" t="s">
        <v>3214</v>
      </c>
      <c r="C315" t="s">
        <v>888</v>
      </c>
      <c r="D315" t="str">
        <f>IFERROR(VLOOKUP(C315,Sheet2!B:F,5,FALSE),"")</f>
        <v>Y-Strainer, Lead Free Bronze, Press Connection, Stainless Steel Screen, 20 Mesh, 150 WOG</v>
      </c>
      <c r="E315" t="s">
        <v>3775</v>
      </c>
      <c r="F315" t="s">
        <v>3772</v>
      </c>
    </row>
    <row r="316" spans="1:6">
      <c r="A316" t="s">
        <v>3769</v>
      </c>
      <c r="B316" t="s">
        <v>3717</v>
      </c>
      <c r="C316" t="s">
        <v>2229</v>
      </c>
      <c r="D316" t="str">
        <f>IFERROR(VLOOKUP(C316,Sheet2!B:F,5,FALSE),"")</f>
        <v>Y-Strainer, Cast Iron, Flanged Connection, Class 125</v>
      </c>
      <c r="E316" t="s">
        <v>3777</v>
      </c>
      <c r="F316" t="s">
        <v>3776</v>
      </c>
    </row>
    <row r="317" spans="1:6">
      <c r="A317" t="s">
        <v>3778</v>
      </c>
      <c r="B317" t="s">
        <v>3779</v>
      </c>
      <c r="C317" t="s">
        <v>702</v>
      </c>
      <c r="D317" t="str">
        <f>IFERROR(VLOOKUP(C317,Sheet2!B:F,5,FALSE),"")</f>
        <v>Dielectric Union, Dezincification Resistant Lead Free Brass, Solder x Galvanized FNPT Connection, BUNA Seats, 250 PSI</v>
      </c>
      <c r="E317" t="s">
        <v>3786</v>
      </c>
      <c r="F317" t="s">
        <v>3781</v>
      </c>
    </row>
    <row r="318" spans="1:6">
      <c r="A318" t="s">
        <v>3778</v>
      </c>
      <c r="B318" t="s">
        <v>3779</v>
      </c>
      <c r="C318" t="s">
        <v>709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3787</v>
      </c>
      <c r="F318" t="s">
        <v>3782</v>
      </c>
    </row>
    <row r="319" spans="1:6">
      <c r="A319" t="s">
        <v>3778</v>
      </c>
      <c r="B319" t="s">
        <v>3779</v>
      </c>
      <c r="C319" t="s">
        <v>712</v>
      </c>
      <c r="D319" t="str">
        <f>IFERROR(VLOOKUP(C319,Sheet2!B:F,5,FALSE),"")</f>
        <v>Dielectric Union, Dezincification Resistant Lead Free Brass, FNPT x Galvanized FNPT Connection, BUNA Seats, 250 PSI</v>
      </c>
      <c r="E319" t="s">
        <v>3788</v>
      </c>
      <c r="F319" t="s">
        <v>3783</v>
      </c>
    </row>
    <row r="320" spans="1:6">
      <c r="A320" t="s">
        <v>3778</v>
      </c>
      <c r="B320" t="s">
        <v>3779</v>
      </c>
      <c r="C320" t="s">
        <v>716</v>
      </c>
      <c r="D320" t="str">
        <f>IFERROR(VLOOKUP(C320,Sheet2!B:F,5,FALSE),"")</f>
        <v>Dielectric Union, Dezincification Resistant Lead Free Brass, Press x Galvanized FNPT Connection, BUNA Seats, 250 PSI</v>
      </c>
      <c r="E320" t="s">
        <v>3789</v>
      </c>
      <c r="F320" t="s">
        <v>3784</v>
      </c>
    </row>
    <row r="321" spans="1:6">
      <c r="A321" t="s">
        <v>3778</v>
      </c>
      <c r="B321" t="s">
        <v>3779</v>
      </c>
      <c r="C321" t="s">
        <v>723</v>
      </c>
      <c r="D321" t="str">
        <f>IFERROR(VLOOKUP(C321,Sheet2!B:F,5,FALSE),"")</f>
        <v>Dielectric Union, Dezincification Resistant Lead Free Brass, Press x Galvanized MNPT Connection, BUNA Seats, 250 PSI</v>
      </c>
      <c r="E321" t="s">
        <v>3790</v>
      </c>
      <c r="F321" t="s">
        <v>3785</v>
      </c>
    </row>
    <row r="322" spans="1:6">
      <c r="A322" t="s">
        <v>3778</v>
      </c>
      <c r="B322" t="s">
        <v>3780</v>
      </c>
      <c r="C322" s="1" t="s">
        <v>1452</v>
      </c>
      <c r="D322" t="str">
        <f>IFERROR(VLOOKUP(C322,Sheet2!B:F,5,FALSE),"")</f>
        <v>LP Dielectric Union, Brass, MIP x Flare, 250 PSI</v>
      </c>
      <c r="E322" t="s">
        <v>3798</v>
      </c>
      <c r="F322" t="s">
        <v>3797</v>
      </c>
    </row>
    <row r="323" spans="1:6">
      <c r="A323" t="s">
        <v>3778</v>
      </c>
      <c r="B323" t="s">
        <v>3780</v>
      </c>
      <c r="C323" s="1" t="s">
        <v>2603</v>
      </c>
      <c r="D323" t="str">
        <f>IFERROR(VLOOKUP(C323,Sheet2!B:F,5,FALSE),"")</f>
        <v>Dielectric Union, Brass, Solder x Galvanized FNPT Connection, BUNA Seats, 250 PSI</v>
      </c>
      <c r="E323" t="s">
        <v>3796</v>
      </c>
      <c r="F323" t="s">
        <v>3791</v>
      </c>
    </row>
    <row r="324" spans="1:6">
      <c r="A324" t="s">
        <v>3778</v>
      </c>
      <c r="B324" t="s">
        <v>3780</v>
      </c>
      <c r="C324" s="1" t="s">
        <v>2610</v>
      </c>
      <c r="D324" t="str">
        <f>IFERROR(VLOOKUP(C324,Sheet2!B:F,5,FALSE),"")</f>
        <v>Dielectric Union, Black Iron, Threaded Connection, 250 PSI</v>
      </c>
      <c r="E324" t="s">
        <v>3795</v>
      </c>
      <c r="F324" t="s">
        <v>3793</v>
      </c>
    </row>
    <row r="325" spans="1:6">
      <c r="A325" t="s">
        <v>3778</v>
      </c>
      <c r="B325" t="s">
        <v>3780</v>
      </c>
      <c r="C325" s="1" t="s">
        <v>2617</v>
      </c>
      <c r="D325" t="str">
        <f>IFERROR(VLOOKUP(C325,Sheet2!B:F,5,FALSE),"")</f>
        <v>Dielectric Union, Galvanized, Threaded Connection, 250 PSI</v>
      </c>
      <c r="E325" t="s">
        <v>3794</v>
      </c>
      <c r="F325" t="s">
        <v>3792</v>
      </c>
    </row>
    <row r="326" spans="1:6">
      <c r="A326" t="s">
        <v>3117</v>
      </c>
      <c r="B326" t="s">
        <v>3117</v>
      </c>
      <c r="C326" s="1" t="s">
        <v>1473</v>
      </c>
      <c r="D326" t="str">
        <f>IFERROR(VLOOKUP(C326,Sheet2!B:F,5,FALSE),"")</f>
        <v>2 Piece, Utility Gas Ball Valve, Full Port, 175 PSIG</v>
      </c>
      <c r="E326" t="s">
        <v>3822</v>
      </c>
      <c r="F326" t="s">
        <v>3810</v>
      </c>
    </row>
    <row r="327" spans="1:6">
      <c r="A327" t="s">
        <v>3117</v>
      </c>
      <c r="B327" t="s">
        <v>3117</v>
      </c>
      <c r="C327" s="1" t="s">
        <v>1508</v>
      </c>
      <c r="D327" t="str">
        <f>IFERROR(VLOOKUP(C327,Sheet2!B:F,5,FALSE),"")</f>
        <v>2 Piece, Utility Gas Ball Valve, Full Port, 175 PSIG</v>
      </c>
      <c r="E327" t="s">
        <v>3823</v>
      </c>
      <c r="F327" t="s">
        <v>3811</v>
      </c>
    </row>
    <row r="328" spans="1:6">
      <c r="A328" t="s">
        <v>3117</v>
      </c>
      <c r="B328" t="s">
        <v>3117</v>
      </c>
      <c r="C328" s="1" t="s">
        <v>1519</v>
      </c>
      <c r="D328" t="str">
        <f>IFERROR(VLOOKUP(C328,Sheet2!B:F,5,FALSE),"")</f>
        <v>2 Piece, Utility Gas Ball Valve, Full Port, 125 PSIG</v>
      </c>
      <c r="E328" t="s">
        <v>3824</v>
      </c>
      <c r="F328" t="s">
        <v>3812</v>
      </c>
    </row>
    <row r="329" spans="1:6">
      <c r="A329" t="s">
        <v>3117</v>
      </c>
      <c r="B329" t="s">
        <v>3117</v>
      </c>
      <c r="C329" s="1" t="s">
        <v>1524</v>
      </c>
      <c r="D329" t="str">
        <f>IFERROR(VLOOKUP(C329,Sheet2!B:F,5,FALSE),"")</f>
        <v>2 Piece, Utility Gas Ball Valve, Full Port, Service Bypass, Insulated Tail Piece, 175 PSIG</v>
      </c>
      <c r="E329" t="s">
        <v>3825</v>
      </c>
      <c r="F329" t="s">
        <v>3813</v>
      </c>
    </row>
    <row r="330" spans="1:6">
      <c r="A330" t="s">
        <v>3117</v>
      </c>
      <c r="B330" t="s">
        <v>3117</v>
      </c>
      <c r="C330" s="1" t="s">
        <v>1527</v>
      </c>
      <c r="D330" t="str">
        <f>IFERROR(VLOOKUP(C330,Sheet2!B:F,5,FALSE),"")</f>
        <v>2 Piece, Utility Gas Ball Valve, Full Port, Service Bypass, Insulated Tail Piece, 125 PSIG</v>
      </c>
      <c r="E330" t="s">
        <v>3826</v>
      </c>
      <c r="F330" t="s">
        <v>3814</v>
      </c>
    </row>
    <row r="331" spans="1:6">
      <c r="A331" t="s">
        <v>3117</v>
      </c>
      <c r="B331" t="s">
        <v>3117</v>
      </c>
      <c r="C331" s="1" t="s">
        <v>1535</v>
      </c>
      <c r="D331" t="str">
        <f>IFERROR(VLOOKUP(C331,Sheet2!B:F,5,FALSE),"")</f>
        <v>2 Piece, Utility Gas Ball Valve, Full Port, Service Bypass, 125 PSIG</v>
      </c>
      <c r="E331" t="s">
        <v>3827</v>
      </c>
      <c r="F331" t="s">
        <v>3815</v>
      </c>
    </row>
    <row r="332" spans="1:6">
      <c r="A332" t="s">
        <v>3117</v>
      </c>
      <c r="B332" t="s">
        <v>3117</v>
      </c>
      <c r="C332" s="1" t="s">
        <v>3799</v>
      </c>
      <c r="D332" t="str">
        <f>IFERROR(VLOOKUP(C332,Sheet2!B:F,5,FALSE),"")</f>
        <v>2 Piece, Utility Gas Ball Valve, Full Port, Service Bypass, Insulated Tail Piece, 175 PSIG</v>
      </c>
      <c r="E332" t="s">
        <v>3828</v>
      </c>
      <c r="F332" t="s">
        <v>3816</v>
      </c>
    </row>
    <row r="333" spans="1:6">
      <c r="A333" t="s">
        <v>3117</v>
      </c>
      <c r="B333" t="s">
        <v>3117</v>
      </c>
      <c r="C333" s="1" t="s">
        <v>1543</v>
      </c>
      <c r="D333" t="str">
        <f>IFERROR(VLOOKUP(C333,Sheet2!B:F,5,FALSE),"")</f>
        <v>2 Piece, Utility Gas Ball Valve, Full Port, Service Bypass, Union Tail Piece, 125 PSIG</v>
      </c>
      <c r="E333" t="s">
        <v>3829</v>
      </c>
      <c r="F333" t="s">
        <v>3817</v>
      </c>
    </row>
    <row r="334" spans="1:6">
      <c r="A334" t="s">
        <v>3117</v>
      </c>
      <c r="B334" t="s">
        <v>3117</v>
      </c>
      <c r="C334" s="1" t="s">
        <v>1546</v>
      </c>
      <c r="D334" t="str">
        <f>IFERROR(VLOOKUP(C334,Sheet2!B:F,5,FALSE),"")</f>
        <v>2 Piece, Utility Gas Ball Valve, Full Port, Service Bypass, Meter Nut, Swivel Connection, 125 PSIG</v>
      </c>
      <c r="E334" t="s">
        <v>3830</v>
      </c>
      <c r="F334" t="s">
        <v>3818</v>
      </c>
    </row>
    <row r="335" spans="1:6">
      <c r="A335" t="s">
        <v>3117</v>
      </c>
      <c r="B335" t="s">
        <v>3117</v>
      </c>
      <c r="C335" s="1" t="s">
        <v>1551</v>
      </c>
      <c r="D335" t="str">
        <f>IFERROR(VLOOKUP(C335,Sheet2!B:F,5,FALSE),"")</f>
        <v>2 Piece, Utility Gas Ball Valve, Full Port, Service Bypass, Angle Body, Meter Nut, Swivel Connection, 125 PSIG</v>
      </c>
      <c r="E335" t="s">
        <v>3831</v>
      </c>
      <c r="F335" t="s">
        <v>3819</v>
      </c>
    </row>
    <row r="336" spans="1:6">
      <c r="A336" t="s">
        <v>3117</v>
      </c>
      <c r="B336" t="s">
        <v>3117</v>
      </c>
      <c r="C336" s="1" t="s">
        <v>1529</v>
      </c>
      <c r="D336" t="str">
        <f>IFERROR(VLOOKUP(C336,Sheet2!B:F,5,FALSE),"")</f>
        <v>2 Piece, Utility Gas Ball Valve, Full Port, Service Bypass, Insulated Tail Piece, 175 PSIG</v>
      </c>
      <c r="E336" t="s">
        <v>3832</v>
      </c>
      <c r="F336" t="s">
        <v>3820</v>
      </c>
    </row>
    <row r="337" spans="1:6">
      <c r="A337" t="s">
        <v>3117</v>
      </c>
      <c r="B337" t="s">
        <v>3117</v>
      </c>
      <c r="C337" s="1" t="s">
        <v>1538</v>
      </c>
      <c r="D337" t="str">
        <f>IFERROR(VLOOKUP(C337,Sheet2!B:F,5,FALSE),"")</f>
        <v>2 Piece, Utility Gas Ball Valve, Full Port, Service Bypass, 175 PSIG</v>
      </c>
      <c r="E337" t="s">
        <v>3833</v>
      </c>
      <c r="F337" t="s">
        <v>3821</v>
      </c>
    </row>
    <row r="338" spans="1:6">
      <c r="A338" t="s">
        <v>3117</v>
      </c>
      <c r="B338" t="s">
        <v>3117</v>
      </c>
      <c r="C338" s="1" t="s">
        <v>3800</v>
      </c>
      <c r="D338" t="str">
        <f>IFERROR(VLOOKUP(C338,Sheet2!B:F,5,FALSE),"")</f>
        <v>2 Piece, Utility Gas Ball Valve, Full Port, Service Bypass, Swivel Connection, 175 PSIG</v>
      </c>
      <c r="E338" t="s">
        <v>3804</v>
      </c>
      <c r="F338" t="s">
        <v>3803</v>
      </c>
    </row>
    <row r="339" spans="1:6">
      <c r="A339" t="s">
        <v>3117</v>
      </c>
      <c r="B339" t="s">
        <v>3117</v>
      </c>
      <c r="C339" s="1" t="s">
        <v>3805</v>
      </c>
      <c r="D339" t="str">
        <f>IFERROR(VLOOKUP(C339,Sheet2!B:F,5,FALSE),"")</f>
        <v>Extended Male Tailpiece, to be ordered in conjunction with 175-LWN</v>
      </c>
      <c r="E339" t="s">
        <v>3808</v>
      </c>
      <c r="F339" t="s">
        <v>3809</v>
      </c>
    </row>
    <row r="340" spans="1:6">
      <c r="A340" t="s">
        <v>3834</v>
      </c>
      <c r="B340" t="s">
        <v>3836</v>
      </c>
      <c r="C340" s="1" t="s">
        <v>828</v>
      </c>
      <c r="D340" t="str">
        <f>IFERROR(VLOOKUP(C340,Sheet2!B:F,5,FALSE),"")</f>
        <v>Boiler Drain, Dezincification Resistant Lead Free Brass, MNPT Connection, 125 WOG</v>
      </c>
      <c r="E340" t="s">
        <v>3848</v>
      </c>
      <c r="F340" t="s">
        <v>3838</v>
      </c>
    </row>
    <row r="341" spans="1:6">
      <c r="A341" t="s">
        <v>3834</v>
      </c>
      <c r="B341" t="s">
        <v>3836</v>
      </c>
      <c r="C341" s="1" t="s">
        <v>831</v>
      </c>
      <c r="D341" t="str">
        <f>IFERROR(VLOOKUP(C341,Sheet2!B:F,5,FALSE),"")</f>
        <v>Boiler Drain, Dezincification Resistant Lead Free Brass, FNPT Connection, 125 WOG</v>
      </c>
      <c r="E341" t="s">
        <v>3849</v>
      </c>
      <c r="F341" t="s">
        <v>3839</v>
      </c>
    </row>
    <row r="342" spans="1:6">
      <c r="A342" t="s">
        <v>3834</v>
      </c>
      <c r="B342" t="s">
        <v>3836</v>
      </c>
      <c r="C342" s="1" t="s">
        <v>838</v>
      </c>
      <c r="D342" t="str">
        <f>IFERROR(VLOOKUP(C342,Sheet2!B:F,5,FALSE),"")</f>
        <v>Boiler Drain, Dezincification Resistant Lead Free Brass, Press Connection, 125 WOG</v>
      </c>
      <c r="E342" t="s">
        <v>3850</v>
      </c>
      <c r="F342" t="s">
        <v>3840</v>
      </c>
    </row>
    <row r="343" spans="1:6">
      <c r="A343" t="s">
        <v>3834</v>
      </c>
      <c r="B343" t="s">
        <v>3836</v>
      </c>
      <c r="C343" s="1" t="s">
        <v>834</v>
      </c>
      <c r="D343" t="str">
        <f>IFERROR(VLOOKUP(C343,Sheet2!B:F,5,FALSE),"")</f>
        <v>Boiler Drain, Dezincification Resistant Lead Free Brass, Crimp Pex Connection, 125 WOG</v>
      </c>
      <c r="E343" t="s">
        <v>3851</v>
      </c>
      <c r="F343" t="s">
        <v>3841</v>
      </c>
    </row>
    <row r="344" spans="1:6">
      <c r="A344" t="s">
        <v>3834</v>
      </c>
      <c r="B344" t="s">
        <v>3842</v>
      </c>
      <c r="C344" s="1" t="s">
        <v>853</v>
      </c>
      <c r="D344" t="str">
        <f>IFERROR(VLOOKUP(C344,Sheet2!B:F,5,FALSE),"")</f>
        <v>Sillcock, Dezincification Resistant Lead Free Brass, FNPT x 3/4" Hose Connection, 125 WOG</v>
      </c>
      <c r="E344" t="s">
        <v>3846</v>
      </c>
      <c r="F344" t="s">
        <v>3844</v>
      </c>
    </row>
    <row r="345" spans="1:6">
      <c r="A345" t="s">
        <v>3834</v>
      </c>
      <c r="B345" t="s">
        <v>3842</v>
      </c>
      <c r="C345" s="1" t="s">
        <v>856</v>
      </c>
      <c r="D345" t="str">
        <f>IFERROR(VLOOKUP(C345,Sheet2!B:F,5,FALSE),"")</f>
        <v>Sillcock, Dezincification Resistant Lead Free Brass, Solder x 3/4" Hose Connection, 125 WOG</v>
      </c>
      <c r="E345" t="s">
        <v>3847</v>
      </c>
      <c r="F345" t="s">
        <v>3845</v>
      </c>
    </row>
    <row r="346" spans="1:6">
      <c r="A346" t="s">
        <v>3834</v>
      </c>
      <c r="B346" t="s">
        <v>3843</v>
      </c>
      <c r="C346" s="1" t="s">
        <v>859</v>
      </c>
      <c r="D346" t="str">
        <f>IFERROR(VLOOKUP(C346,Sheet2!B:F,5,FALSE),"")</f>
        <v>Quarter Turn Hose Bibb, Nickel Plated Finish, MNPT x 3/4" Hose Connection, Internal Solder, T-Handle, 200 WOG</v>
      </c>
      <c r="E346" t="s">
        <v>3857</v>
      </c>
      <c r="F346" t="s">
        <v>3854</v>
      </c>
    </row>
    <row r="347" spans="1:6">
      <c r="A347" t="s">
        <v>3834</v>
      </c>
      <c r="B347" t="s">
        <v>3843</v>
      </c>
      <c r="C347" s="1" t="s">
        <v>864</v>
      </c>
      <c r="D347" t="str">
        <f>IFERROR(VLOOKUP(C347,Sheet2!B:F,5,FALSE),"")</f>
        <v>Quarter Turn Hose Bibb, No Kink, Nickel Plated Finish, MNPT x 3/4" Hose Connection, Internal Solder, T-Handle, 200 WOG</v>
      </c>
      <c r="E347" t="s">
        <v>3858</v>
      </c>
      <c r="F347" t="s">
        <v>3855</v>
      </c>
    </row>
    <row r="348" spans="1:6">
      <c r="A348" t="s">
        <v>3834</v>
      </c>
      <c r="B348" t="s">
        <v>3843</v>
      </c>
      <c r="C348" s="1" t="s">
        <v>869</v>
      </c>
      <c r="D348" t="str">
        <f>IFERROR(VLOOKUP(C348,Sheet2!B:F,5,FALSE),"")</f>
        <v>Quarter Turn Hose Bibb, No Kink, Dezincification Resistant Lead Free Brass, Press x 3/4" Hose Connection, Lever Handle, 200 WOG</v>
      </c>
      <c r="E348" t="s">
        <v>3859</v>
      </c>
      <c r="F348" t="s">
        <v>3856</v>
      </c>
    </row>
    <row r="349" spans="1:6">
      <c r="A349" t="s">
        <v>3834</v>
      </c>
      <c r="B349" t="s">
        <v>3861</v>
      </c>
      <c r="C349" s="1" t="s">
        <v>726</v>
      </c>
      <c r="D349" t="str">
        <f>IFERROR(VLOOKUP(C349,Sheet2!B:F,5,FALSE),"")</f>
        <v xml:space="preserve">Vacuum Breaker, Dezincification Resistant Lead Free Brass, 3/4" Hose Connection </v>
      </c>
      <c r="E349" t="s">
        <v>3862</v>
      </c>
      <c r="F349" t="s">
        <v>3860</v>
      </c>
    </row>
    <row r="350" spans="1:6">
      <c r="A350" t="s">
        <v>3834</v>
      </c>
      <c r="B350" t="s">
        <v>3835</v>
      </c>
      <c r="C350" s="1" t="s">
        <v>3837</v>
      </c>
      <c r="D350" t="str">
        <f>IFERROR(VLOOKUP(C350,Sheet2!B:F,5,FALSE),"")</f>
        <v>Boiler Drain, Brass, MNPT Connection, 125 WOG</v>
      </c>
      <c r="E350" t="s">
        <v>3853</v>
      </c>
      <c r="F350" t="s">
        <v>3852</v>
      </c>
    </row>
    <row r="351" spans="1:6">
      <c r="A351" t="s">
        <v>3126</v>
      </c>
      <c r="B351" t="s">
        <v>3599</v>
      </c>
      <c r="C351" t="s">
        <v>3600</v>
      </c>
      <c r="D351" t="s">
        <v>3613</v>
      </c>
      <c r="E351" t="s">
        <v>3627</v>
      </c>
      <c r="F351" t="s">
        <v>3619</v>
      </c>
    </row>
    <row r="352" spans="1:6">
      <c r="A352" t="s">
        <v>3126</v>
      </c>
      <c r="B352" t="s">
        <v>3599</v>
      </c>
      <c r="C352" t="s">
        <v>3601</v>
      </c>
      <c r="D352" t="s">
        <v>3614</v>
      </c>
      <c r="E352" t="s">
        <v>3628</v>
      </c>
      <c r="F352" t="s">
        <v>3620</v>
      </c>
    </row>
    <row r="353" spans="1:6">
      <c r="A353" t="s">
        <v>3126</v>
      </c>
      <c r="B353" t="s">
        <v>3599</v>
      </c>
      <c r="C353" t="s">
        <v>3602</v>
      </c>
      <c r="D353" t="s">
        <v>3615</v>
      </c>
      <c r="E353" t="s">
        <v>3629</v>
      </c>
      <c r="F353" t="s">
        <v>3621</v>
      </c>
    </row>
    <row r="354" spans="1:6">
      <c r="A354" t="s">
        <v>3126</v>
      </c>
      <c r="B354" t="s">
        <v>3599</v>
      </c>
      <c r="C354" t="s">
        <v>3603</v>
      </c>
      <c r="D354" t="s">
        <v>3616</v>
      </c>
      <c r="E354" t="s">
        <v>3630</v>
      </c>
      <c r="F354" t="s">
        <v>3622</v>
      </c>
    </row>
    <row r="355" spans="1:6">
      <c r="A355" t="s">
        <v>3126</v>
      </c>
      <c r="B355" t="s">
        <v>3599</v>
      </c>
      <c r="C355" t="s">
        <v>3604</v>
      </c>
      <c r="D355" t="s">
        <v>3609</v>
      </c>
      <c r="E355" t="s">
        <v>3631</v>
      </c>
      <c r="F355" t="s">
        <v>3623</v>
      </c>
    </row>
    <row r="356" spans="1:6">
      <c r="A356" t="s">
        <v>3126</v>
      </c>
      <c r="B356" t="s">
        <v>3599</v>
      </c>
      <c r="C356" t="s">
        <v>3605</v>
      </c>
      <c r="D356" t="s">
        <v>3610</v>
      </c>
      <c r="E356" t="s">
        <v>3632</v>
      </c>
      <c r="F356" t="s">
        <v>3624</v>
      </c>
    </row>
    <row r="357" spans="1:6">
      <c r="A357" t="s">
        <v>3126</v>
      </c>
      <c r="B357" t="s">
        <v>3599</v>
      </c>
      <c r="C357" t="s">
        <v>3606</v>
      </c>
      <c r="D357" t="s">
        <v>3611</v>
      </c>
      <c r="E357" t="s">
        <v>3633</v>
      </c>
      <c r="F357" t="s">
        <v>3625</v>
      </c>
    </row>
    <row r="358" spans="1:6">
      <c r="A358" t="s">
        <v>3126</v>
      </c>
      <c r="B358" t="s">
        <v>3599</v>
      </c>
      <c r="C358" t="s">
        <v>3607</v>
      </c>
      <c r="D358" t="s">
        <v>3612</v>
      </c>
      <c r="E358" t="s">
        <v>3634</v>
      </c>
      <c r="F358" t="s">
        <v>3626</v>
      </c>
    </row>
    <row r="359" spans="1:6">
      <c r="A359" t="s">
        <v>3126</v>
      </c>
      <c r="B359" t="s">
        <v>3599</v>
      </c>
      <c r="C359" t="s">
        <v>3608</v>
      </c>
      <c r="D359" t="s">
        <v>3617</v>
      </c>
      <c r="E359" t="s">
        <v>3635</v>
      </c>
      <c r="F359" t="s">
        <v>3618</v>
      </c>
    </row>
    <row r="360" spans="1:6">
      <c r="A360" t="s">
        <v>3126</v>
      </c>
      <c r="B360" t="s">
        <v>3636</v>
      </c>
      <c r="C360" t="s">
        <v>3637</v>
      </c>
      <c r="D360" t="s">
        <v>3640</v>
      </c>
      <c r="E360" t="s">
        <v>3646</v>
      </c>
      <c r="F360" t="s">
        <v>3643</v>
      </c>
    </row>
    <row r="361" spans="1:6">
      <c r="A361" t="s">
        <v>3126</v>
      </c>
      <c r="B361" t="s">
        <v>3636</v>
      </c>
      <c r="C361" t="s">
        <v>3638</v>
      </c>
      <c r="D361" t="s">
        <v>3641</v>
      </c>
      <c r="E361" t="s">
        <v>3647</v>
      </c>
      <c r="F361" t="s">
        <v>3644</v>
      </c>
    </row>
    <row r="362" spans="1:6">
      <c r="A362" t="s">
        <v>3126</v>
      </c>
      <c r="B362" t="s">
        <v>3636</v>
      </c>
      <c r="C362" t="s">
        <v>3639</v>
      </c>
      <c r="D362" t="s">
        <v>3642</v>
      </c>
      <c r="E362" t="s">
        <v>3648</v>
      </c>
      <c r="F362" t="s">
        <v>3645</v>
      </c>
    </row>
    <row r="363" spans="1:6">
      <c r="A363" t="s">
        <v>3118</v>
      </c>
      <c r="B363" t="s">
        <v>1560</v>
      </c>
      <c r="C363" t="s">
        <v>1560</v>
      </c>
      <c r="D363" t="str">
        <f>IFERROR(VLOOKUP(C363,Sheet2!B:F,5,FALSE),"")</f>
        <v>Slow-Drying, Soft-Set, PTFE Thread Sealant</v>
      </c>
      <c r="E363" t="s">
        <v>3893</v>
      </c>
      <c r="F363" t="s">
        <v>3887</v>
      </c>
    </row>
    <row r="364" spans="1:6">
      <c r="A364" t="s">
        <v>3118</v>
      </c>
      <c r="B364" t="s">
        <v>1572</v>
      </c>
      <c r="C364" t="s">
        <v>1572</v>
      </c>
      <c r="D364" t="str">
        <f>IFERROR(VLOOKUP(C364,Sheet2!B:F,5,FALSE),"")</f>
        <v>Slow-Drying, Soft-Set, General Purpose Thread Sealant</v>
      </c>
      <c r="E364" t="s">
        <v>3894</v>
      </c>
      <c r="F364" t="s">
        <v>3888</v>
      </c>
    </row>
    <row r="365" spans="1:6">
      <c r="A365" t="s">
        <v>3118</v>
      </c>
      <c r="B365" t="s">
        <v>1579</v>
      </c>
      <c r="C365" t="s">
        <v>1579</v>
      </c>
      <c r="D365" t="str">
        <f>IFERROR(VLOOKUP(C365,Sheet2!B:F,5,FALSE),"")</f>
        <v>Slow-Drying, Soft-Set, Extra PTFE Thread Sealant</v>
      </c>
      <c r="E365" t="s">
        <v>3895</v>
      </c>
      <c r="F365" t="s">
        <v>3889</v>
      </c>
    </row>
    <row r="366" spans="1:6">
      <c r="A366" t="s">
        <v>3118</v>
      </c>
      <c r="B366" t="s">
        <v>3881</v>
      </c>
      <c r="C366" t="s">
        <v>3881</v>
      </c>
      <c r="D366" t="s">
        <v>3884</v>
      </c>
      <c r="E366" t="s">
        <v>3896</v>
      </c>
      <c r="F366" t="s">
        <v>3890</v>
      </c>
    </row>
    <row r="367" spans="1:6">
      <c r="A367" t="s">
        <v>3118</v>
      </c>
      <c r="B367" t="s">
        <v>3882</v>
      </c>
      <c r="C367" t="s">
        <v>3882</v>
      </c>
      <c r="D367" t="s">
        <v>3885</v>
      </c>
      <c r="E367" t="s">
        <v>3897</v>
      </c>
      <c r="F367" s="10" t="s">
        <v>3891</v>
      </c>
    </row>
    <row r="368" spans="1:6">
      <c r="A368" t="s">
        <v>3118</v>
      </c>
      <c r="B368" t="s">
        <v>3883</v>
      </c>
      <c r="C368" t="s">
        <v>3883</v>
      </c>
      <c r="D368" t="s">
        <v>3886</v>
      </c>
      <c r="E368" t="s">
        <v>3898</v>
      </c>
      <c r="F368" t="s">
        <v>3892</v>
      </c>
    </row>
    <row r="369" spans="1:6">
      <c r="A369" t="s">
        <v>3899</v>
      </c>
      <c r="B369" t="s">
        <v>3900</v>
      </c>
      <c r="C369" t="s">
        <v>3900</v>
      </c>
      <c r="D369" t="s">
        <v>3914</v>
      </c>
      <c r="E369" t="s">
        <v>3920</v>
      </c>
      <c r="F369" t="s">
        <v>3921</v>
      </c>
    </row>
    <row r="370" spans="1:6">
      <c r="A370" t="s">
        <v>3899</v>
      </c>
      <c r="B370" t="s">
        <v>3901</v>
      </c>
      <c r="C370" t="s">
        <v>3901</v>
      </c>
      <c r="D370" t="s">
        <v>3913</v>
      </c>
      <c r="E370" t="s">
        <v>3919</v>
      </c>
      <c r="F370" t="s">
        <v>3918</v>
      </c>
    </row>
    <row r="371" spans="1:6">
      <c r="A371" t="s">
        <v>3899</v>
      </c>
      <c r="B371" t="s">
        <v>3902</v>
      </c>
      <c r="C371" t="s">
        <v>3922</v>
      </c>
      <c r="D371" t="s">
        <v>3912</v>
      </c>
      <c r="E371" t="s">
        <v>3916</v>
      </c>
      <c r="F371" t="s">
        <v>3915</v>
      </c>
    </row>
    <row r="372" spans="1:6">
      <c r="A372" t="s">
        <v>3899</v>
      </c>
      <c r="B372" t="s">
        <v>3902</v>
      </c>
      <c r="C372" t="s">
        <v>3923</v>
      </c>
      <c r="D372" t="s">
        <v>3911</v>
      </c>
      <c r="E372" t="s">
        <v>3917</v>
      </c>
      <c r="F372" t="s">
        <v>3915</v>
      </c>
    </row>
    <row r="373" spans="1:6">
      <c r="A373" t="s">
        <v>3899</v>
      </c>
      <c r="B373" t="s">
        <v>3903</v>
      </c>
      <c r="C373" t="s">
        <v>3903</v>
      </c>
      <c r="D373" t="s">
        <v>3909</v>
      </c>
      <c r="E373" t="s">
        <v>3910</v>
      </c>
      <c r="F373" t="s">
        <v>3908</v>
      </c>
    </row>
    <row r="374" spans="1:6">
      <c r="A374" t="s">
        <v>3899</v>
      </c>
      <c r="B374" t="s">
        <v>3904</v>
      </c>
      <c r="C374" t="s">
        <v>3904</v>
      </c>
      <c r="D374" t="s">
        <v>3907</v>
      </c>
      <c r="E374" t="s">
        <v>3906</v>
      </c>
      <c r="F374" t="s">
        <v>3905</v>
      </c>
    </row>
  </sheetData>
  <phoneticPr fontId="4" type="noConversion"/>
  <hyperlinks>
    <hyperlink ref="E84" r:id="rId1" xr:uid="{6229FE29-82D8-410C-A37E-A74690EAD722}"/>
    <hyperlink ref="E85" r:id="rId2" xr:uid="{9F0126A0-3DB0-46A2-BFBC-94C19D66D2E2}"/>
    <hyperlink ref="E86" r:id="rId3" xr:uid="{9B6B7962-2D16-4A2B-92A0-1EED9A7D108A}"/>
    <hyperlink ref="E87" r:id="rId4" xr:uid="{F73A3B0E-7062-4E3C-BB44-8678A66EB287}"/>
    <hyperlink ref="E88" r:id="rId5" xr:uid="{E5BB09EF-8398-4C7F-9293-1128303F3B14}"/>
    <hyperlink ref="E89" r:id="rId6" xr:uid="{49A6583B-8916-4FF8-B0CF-773816AA9C63}"/>
    <hyperlink ref="E90" r:id="rId7" xr:uid="{A515A1E7-1367-4A54-BEF8-5C947F390C4B}"/>
    <hyperlink ref="E91" r:id="rId8" xr:uid="{EDB124B8-CC69-4A59-9BFD-6AA24DCCE2F7}"/>
    <hyperlink ref="F93" r:id="rId9" xr:uid="{85D95012-DF09-4074-B2B3-B5CA6E12F4FA}"/>
    <hyperlink ref="F146" r:id="rId10" xr:uid="{17DFE903-E1FB-4A4F-84DE-1060715F5D3B}"/>
    <hyperlink ref="E147" r:id="rId11" xr:uid="{E5283377-3ADC-43FC-AF33-67DD2428DCB2}"/>
    <hyperlink ref="E160" r:id="rId12" xr:uid="{B9C7A494-4E2D-412F-9401-2980F3FCB79D}"/>
    <hyperlink ref="F367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4.25"/>
  <cols>
    <col min="1" max="1" width="37.1328125" bestFit="1" customWidth="1"/>
    <col min="2" max="2" width="32.59765625" bestFit="1" customWidth="1"/>
    <col min="3" max="3" width="20.265625" bestFit="1" customWidth="1"/>
    <col min="5" max="5" width="10.86328125" bestFit="1" customWidth="1"/>
    <col min="6" max="6" width="187.730468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2025-10-21T18:11:27Z</dcterms:modified>
</cp:coreProperties>
</file>